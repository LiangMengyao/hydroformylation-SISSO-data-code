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SIO\小论文\修订\投稿最终整理_0830\上传文件\hydroformylation_SISSO_data_and_code\05_code\LOOCV\input\"/>
    </mc:Choice>
  </mc:AlternateContent>
  <xr:revisionPtr revIDLastSave="0" documentId="13_ncr:1_{FAB173F8-288E-462E-9D51-20CBDB660B05}" xr6:coauthVersionLast="47" xr6:coauthVersionMax="47" xr10:uidLastSave="{00000000-0000-0000-0000-000000000000}"/>
  <bookViews>
    <workbookView xWindow="-110" yWindow="-110" windowWidth="19420" windowHeight="11020" xr2:uid="{2268EF25-82CF-40A2-A508-5AC4C5F89AC3}"/>
  </bookViews>
  <sheets>
    <sheet name="59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25" i="4" l="1"/>
  <c r="BD25" i="4"/>
  <c r="BG24" i="4"/>
  <c r="BD24" i="4"/>
  <c r="BG23" i="4"/>
  <c r="BD23" i="4"/>
  <c r="BG22" i="4"/>
  <c r="BD22" i="4"/>
  <c r="BG21" i="4"/>
  <c r="BD21" i="4"/>
  <c r="BG20" i="4"/>
  <c r="BD20" i="4"/>
  <c r="BG19" i="4"/>
  <c r="BD19" i="4"/>
  <c r="BG18" i="4"/>
  <c r="BD18" i="4"/>
  <c r="BG17" i="4"/>
  <c r="BD17" i="4"/>
  <c r="BG16" i="4"/>
  <c r="BD16" i="4"/>
  <c r="BG15" i="4"/>
  <c r="BD15" i="4"/>
  <c r="BG14" i="4"/>
  <c r="BD14" i="4"/>
  <c r="BG13" i="4"/>
  <c r="BD13" i="4"/>
  <c r="BG12" i="4"/>
  <c r="BD12" i="4"/>
  <c r="BG11" i="4"/>
  <c r="BD11" i="4"/>
  <c r="BG10" i="4"/>
  <c r="BD10" i="4"/>
  <c r="BG9" i="4"/>
  <c r="BD9" i="4"/>
  <c r="BG8" i="4"/>
  <c r="BD8" i="4"/>
  <c r="BG7" i="4"/>
  <c r="BD7" i="4"/>
  <c r="BG6" i="4"/>
  <c r="BD6" i="4"/>
  <c r="BG5" i="4"/>
  <c r="BD5" i="4"/>
  <c r="BG4" i="4"/>
  <c r="BD4" i="4"/>
  <c r="BG3" i="4"/>
  <c r="BD3" i="4"/>
  <c r="BG2" i="4"/>
  <c r="B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hong1kun</author>
  </authors>
  <commentList>
    <comment ref="A1" authorId="0" shapeId="0" xr:uid="{47D3A067-BAE1-4A3B-A13F-02D5158E7F24}">
      <text>
        <r>
          <rPr>
            <b/>
            <sz val="9"/>
            <color indexed="81"/>
            <rFont val="宋体"/>
            <family val="3"/>
            <charset val="134"/>
          </rPr>
          <t>hong1kun:</t>
        </r>
        <r>
          <rPr>
            <sz val="9"/>
            <color indexed="81"/>
            <rFont val="宋体"/>
            <family val="3"/>
            <charset val="134"/>
          </rPr>
          <t xml:space="preserve">
总共33个描述符</t>
        </r>
      </text>
    </comment>
  </commentList>
</comments>
</file>

<file path=xl/sharedStrings.xml><?xml version="1.0" encoding="utf-8"?>
<sst xmlns="http://schemas.openxmlformats.org/spreadsheetml/2006/main" count="85" uniqueCount="85">
  <si>
    <t>名称</t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</si>
  <si>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P-Rh-R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</si>
  <si>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P-P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</si>
  <si>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H-Rh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</si>
  <si>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Rh-CO</t>
    </r>
    <phoneticPr fontId="12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</si>
  <si>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H</t>
    </r>
    <phoneticPr fontId="12" type="noConversion"/>
  </si>
  <si>
    <r>
      <t>峰高_v</t>
    </r>
    <r>
      <rPr>
        <sz val="8"/>
        <color theme="1"/>
        <rFont val="等线"/>
        <family val="3"/>
        <charset val="134"/>
        <scheme val="minor"/>
      </rPr>
      <t>H</t>
    </r>
    <phoneticPr fontId="12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</si>
  <si>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CO</t>
    </r>
    <phoneticPr fontId="12" type="noConversion"/>
  </si>
  <si>
    <t>峰高_vco</t>
    <phoneticPr fontId="12" type="noConversion"/>
  </si>
  <si>
    <t>ESP(Rh)</t>
    <phoneticPr fontId="12" type="noConversion"/>
  </si>
  <si>
    <t>ESP(Cα)</t>
    <phoneticPr fontId="12" type="noConversion"/>
  </si>
  <si>
    <t>ESP(Cβ)</t>
    <phoneticPr fontId="12" type="noConversion"/>
  </si>
  <si>
    <t>ESP(H)</t>
    <phoneticPr fontId="12" type="noConversion"/>
  </si>
  <si>
    <t>NPA(Rh)</t>
    <phoneticPr fontId="12" type="noConversion"/>
  </si>
  <si>
    <t>NPA(Cα)</t>
    <phoneticPr fontId="12" type="noConversion"/>
  </si>
  <si>
    <t>NPA(Cβ)</t>
    <phoneticPr fontId="12" type="noConversion"/>
  </si>
  <si>
    <t>NPA(H)</t>
    <phoneticPr fontId="12" type="noConversion"/>
  </si>
  <si>
    <t>Q(Rh)</t>
    <phoneticPr fontId="12" type="noConversion"/>
  </si>
  <si>
    <t>Q(Cα)</t>
    <phoneticPr fontId="12" type="noConversion"/>
  </si>
  <si>
    <t>Q(Cβ)</t>
    <phoneticPr fontId="12" type="noConversion"/>
  </si>
  <si>
    <t>Q(H)</t>
    <phoneticPr fontId="12" type="noConversion"/>
  </si>
  <si>
    <r>
      <t>E</t>
    </r>
    <r>
      <rPr>
        <vertAlign val="subscript"/>
        <sz val="11"/>
        <color theme="1"/>
        <rFont val="等线"/>
        <family val="3"/>
        <charset val="134"/>
        <scheme val="minor"/>
      </rPr>
      <t>LUMO</t>
    </r>
    <phoneticPr fontId="12" type="noConversion"/>
  </si>
  <si>
    <r>
      <t>E</t>
    </r>
    <r>
      <rPr>
        <vertAlign val="subscript"/>
        <sz val="11"/>
        <color theme="1"/>
        <rFont val="等线"/>
        <family val="3"/>
        <charset val="134"/>
        <scheme val="minor"/>
      </rPr>
      <t>HOMO</t>
    </r>
    <phoneticPr fontId="12" type="noConversion"/>
  </si>
  <si>
    <r>
      <t>E</t>
    </r>
    <r>
      <rPr>
        <vertAlign val="subscript"/>
        <sz val="11"/>
        <color theme="1"/>
        <rFont val="等线"/>
        <family val="3"/>
        <charset val="134"/>
        <scheme val="minor"/>
      </rPr>
      <t>(HO-LU)</t>
    </r>
    <phoneticPr fontId="12" type="noConversion"/>
  </si>
  <si>
    <t>Vbur</t>
    <phoneticPr fontId="9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</si>
  <si>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H-Rh-Cα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</si>
  <si>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H-Rh-Cβ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</si>
  <si>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H-Rh-Cγ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</si>
  <si>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H-Cα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</si>
  <si>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H-Cβ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</si>
  <si>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H-Cγ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</si>
  <si>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H-Rh-Cα-Cβ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</si>
  <si>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H-Rh-Cβ-Cα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</si>
  <si>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H-Rh-CO</t>
    </r>
    <phoneticPr fontId="12" type="noConversion"/>
  </si>
  <si>
    <t>C数</t>
    <phoneticPr fontId="9" type="noConversion"/>
  </si>
  <si>
    <t>HF值</t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</si>
  <si>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H-Rh-Pe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</si>
  <si>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H-Rh-Pa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</si>
  <si>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Cα-Rh-Pa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</si>
  <si>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Cα-Rh-Pe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</si>
  <si>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Cβ-Rh-Pa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</si>
  <si>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Cβ-Rh-Pe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</si>
  <si>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Pe-Rh-CO</t>
    </r>
    <phoneticPr fontId="12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</si>
  <si>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Pα-Rh-CO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</si>
  <si>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H-Pe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</si>
  <si>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H-Pa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</si>
  <si>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Cα-Pa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</si>
  <si>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Cα-Pe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</si>
  <si>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Cβ-Pa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</si>
  <si>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Cβ-Pe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</si>
  <si>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P(a)-Rh</t>
    </r>
    <phoneticPr fontId="12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</si>
  <si>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P(e)-Rh</t>
    </r>
    <phoneticPr fontId="12" type="noConversion"/>
  </si>
  <si>
    <t>ESP(Pa)</t>
    <phoneticPr fontId="12" type="noConversion"/>
  </si>
  <si>
    <t>ESP(Pe)</t>
    <phoneticPr fontId="12" type="noConversion"/>
  </si>
  <si>
    <t>NPA(Pa)</t>
    <phoneticPr fontId="12" type="noConversion"/>
  </si>
  <si>
    <t>NPA(Pe)</t>
    <phoneticPr fontId="12" type="noConversion"/>
  </si>
  <si>
    <t>Q(Pa)</t>
    <phoneticPr fontId="12" type="noConversion"/>
  </si>
  <si>
    <t>Q(Pe)</t>
    <phoneticPr fontId="12" type="noConversion"/>
  </si>
  <si>
    <t>正异构比</t>
  </si>
  <si>
    <t>G</t>
    <phoneticPr fontId="9" type="noConversion"/>
  </si>
  <si>
    <t>Gcorr</t>
    <phoneticPr fontId="9" type="noConversion"/>
  </si>
  <si>
    <t>LPP1</t>
    <phoneticPr fontId="9" type="noConversion"/>
  </si>
  <si>
    <t>LPP2</t>
    <phoneticPr fontId="9" type="noConversion"/>
  </si>
  <si>
    <t>LPP3</t>
  </si>
  <si>
    <t>LPP4</t>
  </si>
  <si>
    <t>LPP5</t>
  </si>
  <si>
    <t>LPP6</t>
  </si>
  <si>
    <t>LPP7</t>
  </si>
  <si>
    <t>LPP8</t>
  </si>
  <si>
    <t>LPP9</t>
  </si>
  <si>
    <t>LPP10</t>
  </si>
  <si>
    <t>LPP11</t>
  </si>
  <si>
    <t>LPP12</t>
  </si>
  <si>
    <t>LPP13</t>
  </si>
  <si>
    <t>LPP14</t>
  </si>
  <si>
    <t>LPP15</t>
  </si>
  <si>
    <t>LPP16</t>
  </si>
  <si>
    <t>LPP17</t>
  </si>
  <si>
    <t>LPP18</t>
  </si>
  <si>
    <t>LPP19</t>
  </si>
  <si>
    <t>LPP20</t>
  </si>
  <si>
    <t>LPP21</t>
  </si>
  <si>
    <t>LPP22</t>
  </si>
  <si>
    <t>LPP23</t>
  </si>
  <si>
    <t>LPP24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</si>
</sst>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C0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0" fillId="0" borderId="0" xfId="2"/>
    <xf numFmtId="0" fontId="10" fillId="0" borderId="1" xfId="2" applyBorder="1"/>
    <xf numFmtId="0" fontId="11" fillId="0" borderId="0" xfId="2" applyFont="1" applyAlignment="1">
      <alignment horizontal="center" vertical="center"/>
    </xf>
    <xf numFmtId="0" fontId="10" fillId="0" borderId="0" xfId="2" applyAlignment="1">
      <alignment horizontal="center" vertical="center"/>
    </xf>
    <xf numFmtId="0" fontId="10" fillId="0" borderId="1" xfId="2" applyBorder="1" applyAlignment="1">
      <alignment horizontal="center" vertical="center"/>
    </xf>
    <xf numFmtId="0" fontId="10" fillId="0" borderId="1" xfId="2" applyBorder="1" applyAlignment="1">
      <alignment horizontal="center"/>
    </xf>
    <xf numFmtId="0" fontId="10" fillId="0" borderId="0" xfId="2" applyAlignment="1">
      <alignment horizontal="center"/>
    </xf>
    <xf numFmtId="0" fontId="16" fillId="2" borderId="1" xfId="2" applyFont="1" applyFill="1" applyBorder="1" applyAlignment="1">
      <alignment horizontal="center" vertical="center"/>
    </xf>
    <xf numFmtId="10" fontId="10" fillId="0" borderId="1" xfId="1" applyNumberFormat="1" applyFont="1" applyBorder="1" applyAlignment="1">
      <alignment horizontal="center"/>
    </xf>
    <xf numFmtId="2" fontId="17" fillId="2" borderId="1" xfId="2" applyNumberFormat="1" applyFont="1" applyFill="1" applyBorder="1" applyAlignment="1">
      <alignment horizontal="center"/>
    </xf>
    <xf numFmtId="0" fontId="16" fillId="0" borderId="0" xfId="2" applyFont="1" applyAlignment="1">
      <alignment horizontal="center" vertical="center"/>
    </xf>
    <xf numFmtId="177" fontId="17" fillId="0" borderId="0" xfId="3" applyNumberFormat="1" applyFont="1" applyFill="1" applyAlignment="1">
      <alignment horizontal="center"/>
    </xf>
    <xf numFmtId="10" fontId="17" fillId="0" borderId="0" xfId="3" applyNumberFormat="1" applyFont="1" applyFill="1" applyAlignment="1">
      <alignment horizontal="center"/>
    </xf>
    <xf numFmtId="0" fontId="20" fillId="0" borderId="1" xfId="2" applyFont="1" applyBorder="1"/>
    <xf numFmtId="0" fontId="20" fillId="0" borderId="0" xfId="2" applyFont="1"/>
    <xf numFmtId="0" fontId="13" fillId="0" borderId="1" xfId="2" applyFont="1" applyBorder="1"/>
    <xf numFmtId="0" fontId="0" fillId="0" borderId="0" xfId="0" applyAlignment="1"/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/>
    <xf numFmtId="0" fontId="22" fillId="0" borderId="0" xfId="2" applyFont="1" applyAlignment="1">
      <alignment horizontal="center" vertical="center"/>
    </xf>
    <xf numFmtId="10" fontId="10" fillId="0" borderId="0" xfId="1" applyNumberFormat="1" applyFont="1" applyBorder="1" applyAlignment="1">
      <alignment horizontal="center"/>
    </xf>
    <xf numFmtId="0" fontId="23" fillId="0" borderId="0" xfId="2" applyFont="1"/>
    <xf numFmtId="0" fontId="10" fillId="0" borderId="0" xfId="2" applyAlignment="1">
      <alignment vertical="center"/>
    </xf>
    <xf numFmtId="0" fontId="7" fillId="0" borderId="1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2" xfId="2" applyFont="1" applyBorder="1" applyAlignment="1">
      <alignment vertical="center"/>
    </xf>
    <xf numFmtId="0" fontId="10" fillId="0" borderId="2" xfId="2" applyBorder="1"/>
    <xf numFmtId="0" fontId="0" fillId="0" borderId="2" xfId="0" applyBorder="1">
      <alignment vertical="center"/>
    </xf>
    <xf numFmtId="0" fontId="23" fillId="0" borderId="1" xfId="2" applyFont="1" applyBorder="1"/>
    <xf numFmtId="0" fontId="0" fillId="0" borderId="1" xfId="0" applyBorder="1">
      <alignment vertical="center"/>
    </xf>
    <xf numFmtId="0" fontId="21" fillId="0" borderId="1" xfId="2" applyFont="1" applyBorder="1"/>
    <xf numFmtId="0" fontId="2" fillId="0" borderId="0" xfId="2" applyFont="1"/>
    <xf numFmtId="0" fontId="1" fillId="0" borderId="0" xfId="2" applyFont="1"/>
    <xf numFmtId="0" fontId="1" fillId="0" borderId="1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vertical="center"/>
    </xf>
    <xf numFmtId="0" fontId="24" fillId="0" borderId="0" xfId="0" applyFont="1">
      <alignment vertical="center"/>
    </xf>
    <xf numFmtId="0" fontId="21" fillId="0" borderId="0" xfId="2" applyFont="1"/>
  </cellXfs>
  <cellStyles count="4">
    <cellStyle name="百分比" xfId="1" builtinId="5"/>
    <cellStyle name="百分比 2" xfId="3" xr:uid="{A5F0059D-EE3F-4FB7-99A5-7D49B2131292}"/>
    <cellStyle name="常规" xfId="0" builtinId="0"/>
    <cellStyle name="常规 2" xfId="2" xr:uid="{C79BA677-9EBD-4714-9194-EB3BEF59B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1A90-2B69-4230-8F29-C819FA8B436A}">
  <dimension ref="A1:BL30"/>
  <sheetViews>
    <sheetView tabSelected="1" topLeftCell="BC1" zoomScale="130" zoomScaleNormal="130" workbookViewId="0">
      <selection activeCell="BG12" sqref="BG12"/>
    </sheetView>
  </sheetViews>
  <sheetFormatPr defaultRowHeight="14" x14ac:dyDescent="0.3"/>
  <cols>
    <col min="1" max="1" width="11.25" customWidth="1"/>
    <col min="2" max="2" width="7.58203125" customWidth="1"/>
    <col min="58" max="58" width="7.58203125" customWidth="1"/>
  </cols>
  <sheetData>
    <row r="1" spans="1:64" ht="16.5" customHeight="1" x14ac:dyDescent="0.4">
      <c r="A1" s="3" t="s">
        <v>0</v>
      </c>
      <c r="B1" s="22" t="s">
        <v>34</v>
      </c>
      <c r="C1" s="4" t="s">
        <v>1</v>
      </c>
      <c r="D1" s="39" t="s">
        <v>25</v>
      </c>
      <c r="E1" s="40" t="s">
        <v>26</v>
      </c>
      <c r="F1" s="40" t="s">
        <v>27</v>
      </c>
      <c r="G1" s="40" t="s">
        <v>36</v>
      </c>
      <c r="H1" s="40" t="s">
        <v>37</v>
      </c>
      <c r="I1" s="40" t="s">
        <v>38</v>
      </c>
      <c r="J1" s="40" t="s">
        <v>39</v>
      </c>
      <c r="K1" s="40" t="s">
        <v>40</v>
      </c>
      <c r="L1" s="40" t="s">
        <v>41</v>
      </c>
      <c r="M1" s="40" t="s">
        <v>33</v>
      </c>
      <c r="N1" s="40" t="s">
        <v>42</v>
      </c>
      <c r="O1" s="40" t="s">
        <v>43</v>
      </c>
      <c r="P1" s="39" t="s">
        <v>28</v>
      </c>
      <c r="Q1" s="40" t="s">
        <v>29</v>
      </c>
      <c r="R1" s="40" t="s">
        <v>30</v>
      </c>
      <c r="S1" s="40" t="s">
        <v>44</v>
      </c>
      <c r="T1" s="40" t="s">
        <v>45</v>
      </c>
      <c r="U1" s="40" t="s">
        <v>46</v>
      </c>
      <c r="V1" s="40" t="s">
        <v>47</v>
      </c>
      <c r="W1" s="40" t="s">
        <v>48</v>
      </c>
      <c r="X1" s="41" t="s">
        <v>49</v>
      </c>
      <c r="Y1" s="39" t="s">
        <v>31</v>
      </c>
      <c r="Z1" s="41" t="s">
        <v>32</v>
      </c>
      <c r="AA1" s="40" t="s">
        <v>50</v>
      </c>
      <c r="AB1" s="4" t="s">
        <v>51</v>
      </c>
      <c r="AC1" s="4" t="s">
        <v>2</v>
      </c>
      <c r="AD1" s="4" t="s">
        <v>3</v>
      </c>
      <c r="AE1" s="4" t="s">
        <v>4</v>
      </c>
      <c r="AF1" s="6" t="s">
        <v>5</v>
      </c>
      <c r="AG1" s="7" t="s">
        <v>6</v>
      </c>
      <c r="AH1" s="6" t="s">
        <v>7</v>
      </c>
      <c r="AI1" s="7" t="s">
        <v>8</v>
      </c>
      <c r="AJ1" s="5" t="s">
        <v>9</v>
      </c>
      <c r="AK1" s="4" t="s">
        <v>52</v>
      </c>
      <c r="AL1" s="4" t="s">
        <v>53</v>
      </c>
      <c r="AM1" s="4" t="s">
        <v>10</v>
      </c>
      <c r="AN1" s="4" t="s">
        <v>11</v>
      </c>
      <c r="AO1" s="4" t="s">
        <v>12</v>
      </c>
      <c r="AP1" s="5" t="s">
        <v>13</v>
      </c>
      <c r="AQ1" s="4" t="s">
        <v>54</v>
      </c>
      <c r="AR1" s="4" t="s">
        <v>55</v>
      </c>
      <c r="AS1" s="4" t="s">
        <v>14</v>
      </c>
      <c r="AT1" s="4" t="s">
        <v>15</v>
      </c>
      <c r="AU1" s="4" t="s">
        <v>16</v>
      </c>
      <c r="AV1" s="5" t="s">
        <v>17</v>
      </c>
      <c r="AW1" s="4" t="s">
        <v>56</v>
      </c>
      <c r="AX1" s="4" t="s">
        <v>57</v>
      </c>
      <c r="AY1" s="4" t="s">
        <v>18</v>
      </c>
      <c r="AZ1" s="4" t="s">
        <v>19</v>
      </c>
      <c r="BA1" s="4" t="s">
        <v>20</v>
      </c>
      <c r="BB1" s="5" t="s">
        <v>21</v>
      </c>
      <c r="BC1" s="4" t="s">
        <v>22</v>
      </c>
      <c r="BD1" s="4" t="s">
        <v>23</v>
      </c>
      <c r="BE1" t="s">
        <v>35</v>
      </c>
      <c r="BF1" t="s">
        <v>60</v>
      </c>
      <c r="BG1" s="40" t="s">
        <v>59</v>
      </c>
      <c r="BH1" s="5" t="s">
        <v>24</v>
      </c>
      <c r="BI1" s="8" t="s">
        <v>58</v>
      </c>
      <c r="BJ1" s="11"/>
      <c r="BL1" s="4"/>
    </row>
    <row r="2" spans="1:64" ht="16.5" customHeight="1" x14ac:dyDescent="0.3">
      <c r="A2" s="38" t="s">
        <v>61</v>
      </c>
      <c r="B2" s="22">
        <v>2</v>
      </c>
      <c r="C2" s="33">
        <v>84.658879999999996</v>
      </c>
      <c r="D2" s="26">
        <v>85.981899999999996</v>
      </c>
      <c r="E2" s="27">
        <v>85.583780000000004</v>
      </c>
      <c r="F2" s="27">
        <v>63.380110000000002</v>
      </c>
      <c r="G2" s="28">
        <v>86.987549999999999</v>
      </c>
      <c r="H2" s="28">
        <v>170.92443</v>
      </c>
      <c r="I2" s="29">
        <v>91.300299999999993</v>
      </c>
      <c r="J2" s="29">
        <v>95.591759999999994</v>
      </c>
      <c r="K2" s="29">
        <v>97.552639999999997</v>
      </c>
      <c r="L2" s="29">
        <v>133.08609000000001</v>
      </c>
      <c r="M2" s="30">
        <v>85.61645</v>
      </c>
      <c r="N2" s="29">
        <v>119.82764</v>
      </c>
      <c r="O2" s="29">
        <v>101.62456</v>
      </c>
      <c r="P2" s="26">
        <v>2.61083</v>
      </c>
      <c r="Q2" s="27">
        <v>2.60412</v>
      </c>
      <c r="R2" s="27">
        <v>2.8195800000000002</v>
      </c>
      <c r="S2" s="29">
        <v>2.7303899999999999</v>
      </c>
      <c r="T2" s="29">
        <v>3.91025</v>
      </c>
      <c r="U2" s="29">
        <v>3.2283599999999999</v>
      </c>
      <c r="V2" s="29">
        <v>3.3240599999999998</v>
      </c>
      <c r="W2" s="29">
        <v>3.3976799999999998</v>
      </c>
      <c r="X2" s="31">
        <v>4.1185499999999999</v>
      </c>
      <c r="Y2" s="26">
        <v>-87.974410000000006</v>
      </c>
      <c r="Z2" s="42">
        <v>89.139830000000003</v>
      </c>
      <c r="AA2">
        <v>2.3291900000000001</v>
      </c>
      <c r="AB2">
        <v>2.30287</v>
      </c>
      <c r="AC2">
        <v>3.1192600000000001</v>
      </c>
      <c r="AD2">
        <v>1.5929199999999999</v>
      </c>
      <c r="AE2" s="33">
        <v>1.8746400000000001</v>
      </c>
      <c r="AF2">
        <v>2026.08</v>
      </c>
      <c r="AG2" s="33">
        <v>440.4008</v>
      </c>
      <c r="AH2">
        <v>2049.86</v>
      </c>
      <c r="AI2" s="33">
        <v>1129.7233000000001</v>
      </c>
      <c r="AJ2">
        <v>-0.497</v>
      </c>
      <c r="AK2">
        <v>-0.30499999999999999</v>
      </c>
      <c r="AL2">
        <v>-1E-3</v>
      </c>
      <c r="AM2">
        <v>-0.625</v>
      </c>
      <c r="AN2">
        <v>0.26600000000000001</v>
      </c>
      <c r="AO2" s="33">
        <v>-5.0999999999999997E-2</v>
      </c>
      <c r="AP2">
        <v>-1.546</v>
      </c>
      <c r="AQ2">
        <v>1.33</v>
      </c>
      <c r="AR2">
        <v>1.327</v>
      </c>
      <c r="AS2">
        <v>-0.42799999999999999</v>
      </c>
      <c r="AT2">
        <v>-0.18099999999999999</v>
      </c>
      <c r="AU2" s="33">
        <v>0.153</v>
      </c>
      <c r="AV2">
        <v>-0.38100000000000001</v>
      </c>
      <c r="AW2">
        <v>0.41099999999999998</v>
      </c>
      <c r="AX2">
        <v>0.377</v>
      </c>
      <c r="AY2">
        <v>-0.372</v>
      </c>
      <c r="AZ2">
        <v>-4.5999999999999999E-2</v>
      </c>
      <c r="BA2" s="33">
        <v>-1.2999999999999999E-2</v>
      </c>
      <c r="BB2">
        <v>-3.075E-2</v>
      </c>
      <c r="BC2">
        <v>-0.20004</v>
      </c>
      <c r="BD2">
        <f>BC2-BB2</f>
        <v>-0.16929</v>
      </c>
      <c r="BE2">
        <v>-2029.3037139999999</v>
      </c>
      <c r="BF2">
        <v>0.44232100000000002</v>
      </c>
      <c r="BG2">
        <f t="shared" ref="BG2:BG25" si="0">BE2+BF2</f>
        <v>-2028.8613929999999</v>
      </c>
      <c r="BH2" s="17">
        <v>0.66385284286209834</v>
      </c>
      <c r="BI2" s="10">
        <v>0.78498297395145267</v>
      </c>
      <c r="BJ2" s="11"/>
      <c r="BL2" s="4"/>
    </row>
    <row r="3" spans="1:64" ht="16.5" customHeight="1" x14ac:dyDescent="0.3">
      <c r="A3" s="38" t="s">
        <v>62</v>
      </c>
      <c r="B3" s="22">
        <v>3</v>
      </c>
      <c r="C3" s="33">
        <v>91.235280000000003</v>
      </c>
      <c r="D3" s="26">
        <v>86.632599999999996</v>
      </c>
      <c r="E3" s="27">
        <v>84.493889999999993</v>
      </c>
      <c r="F3" s="27">
        <v>61.86889</v>
      </c>
      <c r="G3" s="28">
        <v>86.754450000000006</v>
      </c>
      <c r="H3" s="28">
        <v>176.22888</v>
      </c>
      <c r="I3" s="29">
        <v>90.623170000000002</v>
      </c>
      <c r="J3" s="29">
        <v>100.98855</v>
      </c>
      <c r="K3" s="29">
        <v>94.937669999999997</v>
      </c>
      <c r="L3" s="29">
        <v>138.47805</v>
      </c>
      <c r="M3" s="30">
        <v>85.112819999999999</v>
      </c>
      <c r="N3" s="29">
        <v>113.79349999999999</v>
      </c>
      <c r="O3" s="29">
        <v>98.622159999999994</v>
      </c>
      <c r="P3" s="26">
        <v>2.62019</v>
      </c>
      <c r="Q3" s="27">
        <v>2.5621900000000002</v>
      </c>
      <c r="R3" s="27">
        <v>2.7761200000000001</v>
      </c>
      <c r="S3" s="29">
        <v>2.7359100000000001</v>
      </c>
      <c r="T3" s="29">
        <v>3.9235099999999998</v>
      </c>
      <c r="U3" s="29">
        <v>3.2120899999999999</v>
      </c>
      <c r="V3" s="29">
        <v>3.4714499999999999</v>
      </c>
      <c r="W3" s="29">
        <v>3.3215499999999998</v>
      </c>
      <c r="X3" s="31">
        <v>4.1961199999999996</v>
      </c>
      <c r="Y3" s="26">
        <v>-85.368520000000004</v>
      </c>
      <c r="Z3" s="42">
        <v>91.567030000000003</v>
      </c>
      <c r="AA3">
        <v>2.33657</v>
      </c>
      <c r="AB3">
        <v>2.3189500000000001</v>
      </c>
      <c r="AC3">
        <v>3.3272699999999999</v>
      </c>
      <c r="AD3">
        <v>1.5889899999999999</v>
      </c>
      <c r="AE3" s="33">
        <v>1.87497</v>
      </c>
      <c r="AF3">
        <v>2051.6799999999998</v>
      </c>
      <c r="AG3" s="33">
        <v>632.61019999999996</v>
      </c>
      <c r="AH3">
        <v>2055.71</v>
      </c>
      <c r="AI3" s="33">
        <v>790.08389999999997</v>
      </c>
      <c r="AJ3">
        <v>-0.19800000000000001</v>
      </c>
      <c r="AK3">
        <v>-0.45200000000000001</v>
      </c>
      <c r="AL3">
        <v>6.7000000000000004E-2</v>
      </c>
      <c r="AM3">
        <v>-0.40400000000000003</v>
      </c>
      <c r="AN3">
        <v>4.5999999999999999E-2</v>
      </c>
      <c r="AO3" s="33">
        <v>-0.13200000000000001</v>
      </c>
      <c r="AP3">
        <v>-1.532</v>
      </c>
      <c r="AQ3">
        <v>1.3340000000000001</v>
      </c>
      <c r="AR3">
        <v>1.3140000000000001</v>
      </c>
      <c r="AS3">
        <v>-0.44500000000000001</v>
      </c>
      <c r="AT3">
        <v>-0.185</v>
      </c>
      <c r="AU3" s="33">
        <v>0.15</v>
      </c>
      <c r="AV3">
        <v>-0.36899999999999999</v>
      </c>
      <c r="AW3">
        <v>0.34</v>
      </c>
      <c r="AX3">
        <v>0.35199999999999998</v>
      </c>
      <c r="AY3">
        <v>-0.436</v>
      </c>
      <c r="AZ3">
        <v>-2.4E-2</v>
      </c>
      <c r="BA3" s="33">
        <v>-2.1999999999999999E-2</v>
      </c>
      <c r="BB3">
        <v>-2.8879999999999999E-2</v>
      </c>
      <c r="BC3">
        <v>-0.20027</v>
      </c>
      <c r="BD3">
        <f t="shared" ref="BD3:BD25" si="1">BC3-BB3</f>
        <v>-0.17139000000000001</v>
      </c>
      <c r="BE3">
        <v>-2068.5876214999998</v>
      </c>
      <c r="BF3">
        <v>0.47075600000000001</v>
      </c>
      <c r="BG3">
        <f t="shared" si="0"/>
        <v>-2068.1168654999997</v>
      </c>
      <c r="BH3" s="17">
        <v>0.68523343634700895</v>
      </c>
      <c r="BI3" s="10">
        <v>0.72932968231091178</v>
      </c>
      <c r="BJ3" s="11"/>
      <c r="BL3" s="4"/>
    </row>
    <row r="4" spans="1:64" ht="16.5" customHeight="1" x14ac:dyDescent="0.3">
      <c r="A4" s="38" t="s">
        <v>63</v>
      </c>
      <c r="B4" s="22">
        <v>4</v>
      </c>
      <c r="C4" s="33">
        <v>93.058610000000002</v>
      </c>
      <c r="D4" s="26">
        <v>83.039330000000007</v>
      </c>
      <c r="E4" s="27">
        <v>86.086690000000004</v>
      </c>
      <c r="F4" s="27">
        <v>65.265529999999998</v>
      </c>
      <c r="G4" s="28">
        <v>87.085520000000002</v>
      </c>
      <c r="H4" s="28">
        <v>178.54640000000001</v>
      </c>
      <c r="I4" s="29">
        <v>95.518289999999993</v>
      </c>
      <c r="J4" s="29">
        <v>102.38617000000001</v>
      </c>
      <c r="K4" s="29">
        <v>92.888689999999997</v>
      </c>
      <c r="L4" s="29">
        <v>140.37249</v>
      </c>
      <c r="M4" s="30">
        <v>83.143069999999994</v>
      </c>
      <c r="N4" s="29">
        <v>109.31947</v>
      </c>
      <c r="O4" s="29">
        <v>98.167490000000001</v>
      </c>
      <c r="P4" s="26">
        <v>2.53687</v>
      </c>
      <c r="Q4" s="27">
        <v>2.6009600000000002</v>
      </c>
      <c r="R4" s="27">
        <v>2.8677899999999998</v>
      </c>
      <c r="S4" s="29">
        <v>2.7466699999999999</v>
      </c>
      <c r="T4" s="29">
        <v>3.94923</v>
      </c>
      <c r="U4" s="29">
        <v>3.3640699999999999</v>
      </c>
      <c r="V4" s="29">
        <v>3.5101100000000001</v>
      </c>
      <c r="W4" s="29">
        <v>3.2869999999999999</v>
      </c>
      <c r="X4" s="31">
        <v>4.2281700000000004</v>
      </c>
      <c r="Y4" s="26">
        <v>-92.552300000000002</v>
      </c>
      <c r="Z4" s="42">
        <v>83.700720000000004</v>
      </c>
      <c r="AA4">
        <v>2.3611499999999999</v>
      </c>
      <c r="AB4">
        <v>2.3230200000000001</v>
      </c>
      <c r="AC4">
        <v>3.3995299999999999</v>
      </c>
      <c r="AD4">
        <v>1.5883799999999999</v>
      </c>
      <c r="AE4" s="33">
        <v>1.8753899999999999</v>
      </c>
      <c r="AF4">
        <v>2059.1999999999998</v>
      </c>
      <c r="AG4" s="33">
        <v>549.77099999999996</v>
      </c>
      <c r="AH4">
        <v>2052.4899999999998</v>
      </c>
      <c r="AI4" s="33">
        <v>796.85760000000005</v>
      </c>
      <c r="AJ4">
        <v>0.622</v>
      </c>
      <c r="AK4">
        <v>-0.59799999999999998</v>
      </c>
      <c r="AL4">
        <v>-0.24399999999999999</v>
      </c>
      <c r="AM4">
        <v>-0.61299999999999999</v>
      </c>
      <c r="AN4">
        <v>0.224</v>
      </c>
      <c r="AO4" s="33">
        <v>-0.24399999999999999</v>
      </c>
      <c r="AP4">
        <v>-1.514</v>
      </c>
      <c r="AQ4">
        <v>1.304</v>
      </c>
      <c r="AR4">
        <v>1.323</v>
      </c>
      <c r="AS4">
        <v>-0.441</v>
      </c>
      <c r="AT4">
        <v>-0.19800000000000001</v>
      </c>
      <c r="AU4" s="33">
        <v>0.152</v>
      </c>
      <c r="AV4">
        <v>-0.36299999999999999</v>
      </c>
      <c r="AW4">
        <v>0.41499999999999998</v>
      </c>
      <c r="AX4">
        <v>0.317</v>
      </c>
      <c r="AY4">
        <v>-0.43099999999999999</v>
      </c>
      <c r="AZ4">
        <v>-7.6999999999999999E-2</v>
      </c>
      <c r="BA4" s="33">
        <v>-2.4E-2</v>
      </c>
      <c r="BB4">
        <v>-3.6900000000000002E-2</v>
      </c>
      <c r="BC4">
        <v>-0.20008000000000001</v>
      </c>
      <c r="BD4">
        <f t="shared" si="1"/>
        <v>-0.16317999999999999</v>
      </c>
      <c r="BE4">
        <v>-2107.8601827000002</v>
      </c>
      <c r="BF4">
        <v>0.50203299999999995</v>
      </c>
      <c r="BG4">
        <f t="shared" si="0"/>
        <v>-2107.3581497</v>
      </c>
      <c r="BH4" s="17">
        <v>0.71001781716123746</v>
      </c>
      <c r="BI4" s="10">
        <v>2.4535064624874976</v>
      </c>
      <c r="BJ4" s="11"/>
      <c r="BL4" s="4"/>
    </row>
    <row r="5" spans="1:64" x14ac:dyDescent="0.3">
      <c r="A5" s="38" t="s">
        <v>64</v>
      </c>
      <c r="B5" s="22">
        <v>5</v>
      </c>
      <c r="C5" s="33">
        <v>100.54588</v>
      </c>
      <c r="D5" s="2">
        <v>84.807950000000005</v>
      </c>
      <c r="E5" s="1">
        <v>83.273899999999998</v>
      </c>
      <c r="F5" s="1">
        <v>60.892249999999997</v>
      </c>
      <c r="G5" s="1">
        <v>83.472350000000006</v>
      </c>
      <c r="H5" s="1">
        <v>174.90545</v>
      </c>
      <c r="I5" s="1">
        <v>97.680409999999995</v>
      </c>
      <c r="J5" s="1">
        <v>97.561570000000003</v>
      </c>
      <c r="K5" s="1">
        <v>95.958420000000004</v>
      </c>
      <c r="L5" s="1">
        <v>134.23536999999999</v>
      </c>
      <c r="M5" s="1">
        <v>83.387240000000006</v>
      </c>
      <c r="N5" s="1">
        <v>117.37421999999999</v>
      </c>
      <c r="O5">
        <v>91.942959999999999</v>
      </c>
      <c r="P5" s="2">
        <v>2.5829800000000001</v>
      </c>
      <c r="Q5" s="1">
        <v>2.5392399999999999</v>
      </c>
      <c r="R5" s="1">
        <v>2.7453400000000001</v>
      </c>
      <c r="S5" s="1">
        <v>2.6618400000000002</v>
      </c>
      <c r="T5" s="1">
        <v>3.95173</v>
      </c>
      <c r="U5" s="1">
        <v>3.4410599999999998</v>
      </c>
      <c r="V5" s="1">
        <v>3.4021499999999998</v>
      </c>
      <c r="W5" s="1">
        <v>3.38849</v>
      </c>
      <c r="X5" s="32">
        <v>4.1568100000000001</v>
      </c>
      <c r="Y5" s="2">
        <v>-85.713179999999994</v>
      </c>
      <c r="Z5" s="32">
        <v>90.208860000000001</v>
      </c>
      <c r="AA5">
        <v>2.3759999999999999</v>
      </c>
      <c r="AB5">
        <v>2.3296399999999999</v>
      </c>
      <c r="AC5">
        <v>3.6192199999999999</v>
      </c>
      <c r="AD5">
        <v>1.57948</v>
      </c>
      <c r="AE5" s="33">
        <v>1.8708</v>
      </c>
      <c r="AF5">
        <v>2095.2399999999998</v>
      </c>
      <c r="AG5" s="33">
        <v>433.54379999999998</v>
      </c>
      <c r="AH5">
        <v>2045.81</v>
      </c>
      <c r="AI5" s="33">
        <v>932.66049999999996</v>
      </c>
      <c r="AJ5">
        <v>0.19600000000000001</v>
      </c>
      <c r="AK5">
        <v>-0.45200000000000001</v>
      </c>
      <c r="AL5">
        <v>-0.61599999999999999</v>
      </c>
      <c r="AM5">
        <v>-0.64700000000000002</v>
      </c>
      <c r="AN5">
        <v>0.2</v>
      </c>
      <c r="AO5" s="33">
        <v>-0.129</v>
      </c>
      <c r="AP5">
        <v>-1.48</v>
      </c>
      <c r="AQ5">
        <v>1.29</v>
      </c>
      <c r="AR5">
        <v>1.2989999999999999</v>
      </c>
      <c r="AS5">
        <v>-0.443</v>
      </c>
      <c r="AT5">
        <v>-0.184</v>
      </c>
      <c r="AU5" s="33">
        <v>0.16</v>
      </c>
      <c r="AV5">
        <v>-0.30099999999999999</v>
      </c>
      <c r="AW5">
        <v>0.28499999999999998</v>
      </c>
      <c r="AX5">
        <v>0.29399999999999998</v>
      </c>
      <c r="AY5">
        <v>-0.42</v>
      </c>
      <c r="AZ5">
        <v>-2.3E-2</v>
      </c>
      <c r="BA5" s="33">
        <v>-8.0000000000000002E-3</v>
      </c>
      <c r="BB5">
        <v>-3.2969999999999999E-2</v>
      </c>
      <c r="BC5">
        <v>-0.20107</v>
      </c>
      <c r="BD5">
        <f t="shared" si="1"/>
        <v>-0.1681</v>
      </c>
      <c r="BE5">
        <v>-2147.1352000000002</v>
      </c>
      <c r="BF5">
        <v>0.52676900000000004</v>
      </c>
      <c r="BG5">
        <f t="shared" si="0"/>
        <v>-2146.6084310000001</v>
      </c>
      <c r="BH5" s="17">
        <v>0.72414146510674526</v>
      </c>
      <c r="BI5" s="10">
        <v>1.997949573837541</v>
      </c>
      <c r="BJ5" s="12"/>
      <c r="BL5" s="13"/>
    </row>
    <row r="6" spans="1:64" x14ac:dyDescent="0.3">
      <c r="A6" s="38" t="s">
        <v>65</v>
      </c>
      <c r="B6" s="22">
        <v>6</v>
      </c>
      <c r="C6" s="33">
        <v>106.48911</v>
      </c>
      <c r="D6" s="2">
        <v>83.237660000000005</v>
      </c>
      <c r="E6" s="1">
        <v>84.467550000000003</v>
      </c>
      <c r="F6" s="1">
        <v>62.964979999999997</v>
      </c>
      <c r="G6" s="1">
        <v>79.295599999999993</v>
      </c>
      <c r="H6" s="1">
        <v>174.21494000000001</v>
      </c>
      <c r="I6" s="1">
        <v>94.888310000000004</v>
      </c>
      <c r="J6" s="21">
        <v>107.41965999999999</v>
      </c>
      <c r="K6" s="1">
        <v>90.663499999999999</v>
      </c>
      <c r="L6" s="1">
        <v>144.08456000000001</v>
      </c>
      <c r="M6" s="1">
        <v>85.114339999999999</v>
      </c>
      <c r="N6" s="1">
        <v>104.41521</v>
      </c>
      <c r="O6">
        <v>93.241129999999998</v>
      </c>
      <c r="P6" s="2">
        <v>2.5305300000000002</v>
      </c>
      <c r="Q6" s="1">
        <v>2.54562</v>
      </c>
      <c r="R6" s="1">
        <v>2.7923300000000002</v>
      </c>
      <c r="S6" s="1">
        <v>2.5963699999999998</v>
      </c>
      <c r="T6" s="1">
        <v>3.96631</v>
      </c>
      <c r="U6" s="1">
        <v>3.3603700000000001</v>
      </c>
      <c r="V6" s="1">
        <v>3.66316</v>
      </c>
      <c r="W6" s="1">
        <v>3.2330899999999998</v>
      </c>
      <c r="X6" s="32">
        <v>4.3049299999999997</v>
      </c>
      <c r="Y6" s="2">
        <v>-89.617779999999996</v>
      </c>
      <c r="Z6" s="32">
        <v>86.086650000000006</v>
      </c>
      <c r="AA6">
        <v>2.38808</v>
      </c>
      <c r="AB6">
        <v>2.3728600000000002</v>
      </c>
      <c r="AC6">
        <v>3.81446</v>
      </c>
      <c r="AD6">
        <v>1.58308</v>
      </c>
      <c r="AE6" s="33">
        <v>1.8789</v>
      </c>
      <c r="AF6">
        <v>2066.9499999999998</v>
      </c>
      <c r="AG6" s="33">
        <v>519.34699999999998</v>
      </c>
      <c r="AH6">
        <v>2064.4499999999998</v>
      </c>
      <c r="AI6" s="33">
        <v>698.1943</v>
      </c>
      <c r="AJ6">
        <v>-9.0999999999999998E-2</v>
      </c>
      <c r="AK6">
        <v>-0.255</v>
      </c>
      <c r="AL6">
        <v>-0.36399999999999999</v>
      </c>
      <c r="AM6">
        <v>-0.60799999999999998</v>
      </c>
      <c r="AN6">
        <v>0.219</v>
      </c>
      <c r="AO6" s="33">
        <v>-7.3999999999999996E-2</v>
      </c>
      <c r="AP6">
        <v>-1.42</v>
      </c>
      <c r="AQ6">
        <v>1.2729999999999999</v>
      </c>
      <c r="AR6">
        <v>1.26</v>
      </c>
      <c r="AS6">
        <v>-0.46700000000000003</v>
      </c>
      <c r="AT6">
        <v>-0.187</v>
      </c>
      <c r="AU6" s="33">
        <v>0.16800000000000001</v>
      </c>
      <c r="AV6">
        <v>-0.27900000000000003</v>
      </c>
      <c r="AW6">
        <v>0.34499999999999997</v>
      </c>
      <c r="AX6">
        <v>0.245</v>
      </c>
      <c r="AY6">
        <v>-0.442</v>
      </c>
      <c r="AZ6">
        <v>-0.01</v>
      </c>
      <c r="BA6" s="33">
        <v>-2E-3</v>
      </c>
      <c r="BB6">
        <v>-3.1179999999999999E-2</v>
      </c>
      <c r="BC6">
        <v>-0.19803000000000001</v>
      </c>
      <c r="BD6">
        <f t="shared" si="1"/>
        <v>-0.16685</v>
      </c>
      <c r="BE6">
        <v>-2186.4207182999999</v>
      </c>
      <c r="BF6">
        <v>0.55390300000000003</v>
      </c>
      <c r="BG6">
        <f t="shared" si="0"/>
        <v>-2185.8668152999999</v>
      </c>
      <c r="BH6" s="17">
        <v>0.75164178045473184</v>
      </c>
      <c r="BI6" s="10">
        <v>1.7432611400833</v>
      </c>
      <c r="BJ6" s="12"/>
      <c r="BL6" s="13"/>
    </row>
    <row r="7" spans="1:64" x14ac:dyDescent="0.3">
      <c r="A7" s="38" t="s">
        <v>66</v>
      </c>
      <c r="B7" s="22">
        <v>8</v>
      </c>
      <c r="C7" s="33">
        <v>109.14698</v>
      </c>
      <c r="D7" s="2">
        <v>81.147419999999997</v>
      </c>
      <c r="E7" s="1">
        <v>82.363150000000005</v>
      </c>
      <c r="F7" s="1">
        <v>61.140770000000003</v>
      </c>
      <c r="G7" s="1">
        <v>80.652100000000004</v>
      </c>
      <c r="H7" s="1">
        <v>169.53650999999999</v>
      </c>
      <c r="I7" s="1">
        <v>100.76124</v>
      </c>
      <c r="J7" s="1">
        <v>97.078500000000005</v>
      </c>
      <c r="K7" s="1">
        <v>92.71302</v>
      </c>
      <c r="L7" s="1">
        <v>134.56924000000001</v>
      </c>
      <c r="M7" s="1">
        <v>81.598659999999995</v>
      </c>
      <c r="N7" s="1">
        <v>104.68213</v>
      </c>
      <c r="O7">
        <v>92.093119999999999</v>
      </c>
      <c r="P7" s="2">
        <v>2.4553600000000002</v>
      </c>
      <c r="Q7" s="1">
        <v>2.4914700000000001</v>
      </c>
      <c r="R7" s="1">
        <v>2.7562099999999998</v>
      </c>
      <c r="S7" s="1">
        <v>2.6001400000000001</v>
      </c>
      <c r="T7" s="1">
        <v>4.0159099999999999</v>
      </c>
      <c r="U7" s="1">
        <v>3.56534</v>
      </c>
      <c r="V7" s="1">
        <v>3.37385</v>
      </c>
      <c r="W7" s="1">
        <v>3.3577599999999999</v>
      </c>
      <c r="X7" s="32">
        <v>4.1592200000000004</v>
      </c>
      <c r="Y7" s="2">
        <v>-88.832229999999996</v>
      </c>
      <c r="Z7" s="32">
        <v>85.360259999999997</v>
      </c>
      <c r="AA7" s="43">
        <v>2.4704899999999999</v>
      </c>
      <c r="AB7">
        <v>2.3481700000000001</v>
      </c>
      <c r="AC7">
        <v>3.9271699999999998</v>
      </c>
      <c r="AD7">
        <v>1.5613600000000001</v>
      </c>
      <c r="AE7" s="33">
        <v>1.88422</v>
      </c>
      <c r="AF7">
        <v>2151.77</v>
      </c>
      <c r="AG7" s="33">
        <v>351.56900000000002</v>
      </c>
      <c r="AH7">
        <v>2058.8200000000002</v>
      </c>
      <c r="AI7" s="33">
        <v>804.23889999999994</v>
      </c>
      <c r="AJ7">
        <v>-0.72899999999999998</v>
      </c>
      <c r="AK7">
        <v>0.16800000000000001</v>
      </c>
      <c r="AL7">
        <v>0.121</v>
      </c>
      <c r="AM7">
        <v>-0.67200000000000004</v>
      </c>
      <c r="AN7">
        <v>0.32500000000000001</v>
      </c>
      <c r="AO7" s="33">
        <v>6.0999999999999999E-2</v>
      </c>
      <c r="AP7">
        <v>-1.373</v>
      </c>
      <c r="AQ7">
        <v>1.2</v>
      </c>
      <c r="AR7">
        <v>1.268</v>
      </c>
      <c r="AS7">
        <v>-0.46100000000000002</v>
      </c>
      <c r="AT7">
        <v>-0.20399999999999999</v>
      </c>
      <c r="AU7" s="33">
        <v>0.214</v>
      </c>
      <c r="AV7">
        <v>-0.34799999999999998</v>
      </c>
      <c r="AW7">
        <v>0.30599999999999999</v>
      </c>
      <c r="AX7">
        <v>0.32100000000000001</v>
      </c>
      <c r="AY7">
        <v>-0.39600000000000002</v>
      </c>
      <c r="AZ7">
        <v>-5.7000000000000002E-2</v>
      </c>
      <c r="BA7" s="33">
        <v>4.5999999999999999E-2</v>
      </c>
      <c r="BB7">
        <v>-2.9409999999999999E-2</v>
      </c>
      <c r="BC7">
        <v>-0.18926999999999999</v>
      </c>
      <c r="BD7">
        <f t="shared" si="1"/>
        <v>-0.15986</v>
      </c>
      <c r="BE7">
        <v>-2264.9606079</v>
      </c>
      <c r="BF7">
        <v>0.60670900000000005</v>
      </c>
      <c r="BG7">
        <f t="shared" si="0"/>
        <v>-2264.3538988999999</v>
      </c>
      <c r="BH7" s="17">
        <v>0.74786745924127274</v>
      </c>
      <c r="BI7" s="10">
        <v>1.706854390104136</v>
      </c>
      <c r="BJ7" s="12"/>
      <c r="BL7" s="13"/>
    </row>
    <row r="8" spans="1:64" x14ac:dyDescent="0.3">
      <c r="A8" s="38" t="s">
        <v>67</v>
      </c>
      <c r="B8" s="22">
        <v>4</v>
      </c>
      <c r="C8" s="33">
        <v>96.404229999999998</v>
      </c>
      <c r="D8" s="2">
        <v>84.780619999999999</v>
      </c>
      <c r="E8" s="1">
        <v>84.155760000000001</v>
      </c>
      <c r="F8" s="1">
        <v>62.072870000000002</v>
      </c>
      <c r="G8" s="1">
        <v>83.138459999999995</v>
      </c>
      <c r="H8" s="1">
        <v>177.89458999999999</v>
      </c>
      <c r="I8" s="1">
        <v>93.374960000000002</v>
      </c>
      <c r="J8" s="1">
        <v>105.60981</v>
      </c>
      <c r="K8" s="1">
        <v>95.019819999999996</v>
      </c>
      <c r="L8" s="1">
        <v>142.47575000000001</v>
      </c>
      <c r="M8" s="1">
        <v>87.542810000000003</v>
      </c>
      <c r="N8" s="1">
        <v>111.22136999999999</v>
      </c>
      <c r="O8">
        <v>94.534890000000004</v>
      </c>
      <c r="P8" s="2">
        <v>2.5772599999999999</v>
      </c>
      <c r="Q8" s="1">
        <v>2.5590799999999998</v>
      </c>
      <c r="R8" s="1">
        <v>2.7781099999999999</v>
      </c>
      <c r="S8" s="1">
        <v>2.6474600000000001</v>
      </c>
      <c r="T8" s="1">
        <v>3.9323000000000001</v>
      </c>
      <c r="U8" s="1">
        <v>3.2900200000000002</v>
      </c>
      <c r="V8" s="1">
        <v>3.5790299999999999</v>
      </c>
      <c r="W8" s="1">
        <v>3.33087</v>
      </c>
      <c r="X8" s="32">
        <v>4.2490600000000001</v>
      </c>
      <c r="Y8" s="2">
        <v>-87.182559999999995</v>
      </c>
      <c r="Z8" s="32">
        <v>88.996899999999997</v>
      </c>
      <c r="AA8">
        <v>2.3416700000000001</v>
      </c>
      <c r="AB8">
        <v>2.3145099999999998</v>
      </c>
      <c r="AC8">
        <v>3.4712299999999998</v>
      </c>
      <c r="AD8">
        <v>1.59127</v>
      </c>
      <c r="AE8" s="33">
        <v>1.8801099999999999</v>
      </c>
      <c r="AF8">
        <v>2035.84</v>
      </c>
      <c r="AG8" s="33">
        <v>448.88369999999998</v>
      </c>
      <c r="AH8">
        <v>2048</v>
      </c>
      <c r="AI8" s="33">
        <v>969.1739</v>
      </c>
      <c r="AJ8">
        <v>-0.157</v>
      </c>
      <c r="AK8">
        <v>-0.57999999999999996</v>
      </c>
      <c r="AL8">
        <v>-0.36699999999999999</v>
      </c>
      <c r="AM8">
        <v>-0.46200000000000002</v>
      </c>
      <c r="AN8">
        <v>0.125</v>
      </c>
      <c r="AO8" s="33">
        <v>-8.5999999999999993E-2</v>
      </c>
      <c r="AP8">
        <v>-1.532</v>
      </c>
      <c r="AQ8">
        <v>1.3260000000000001</v>
      </c>
      <c r="AR8">
        <v>1.321</v>
      </c>
      <c r="AS8">
        <v>-0.438</v>
      </c>
      <c r="AT8">
        <v>-0.18099999999999999</v>
      </c>
      <c r="AU8" s="33">
        <v>0.159</v>
      </c>
      <c r="AV8">
        <v>-0.36</v>
      </c>
      <c r="AW8">
        <v>0.38500000000000001</v>
      </c>
      <c r="AX8">
        <v>0.29699999999999999</v>
      </c>
      <c r="AY8">
        <v>-0.41399999999999998</v>
      </c>
      <c r="AZ8">
        <v>-2.3E-2</v>
      </c>
      <c r="BA8" s="33">
        <v>-1.9E-2</v>
      </c>
      <c r="BB8">
        <v>-3.5959999999999999E-2</v>
      </c>
      <c r="BC8">
        <v>-0.20282</v>
      </c>
      <c r="BD8">
        <f t="shared" si="1"/>
        <v>-0.16686000000000001</v>
      </c>
      <c r="BE8">
        <v>-2374.8675054</v>
      </c>
      <c r="BF8">
        <v>0.56149899999999997</v>
      </c>
      <c r="BG8">
        <f t="shared" si="0"/>
        <v>-2374.3060064000001</v>
      </c>
      <c r="BH8" s="17">
        <v>0.71615921919838543</v>
      </c>
      <c r="BI8" s="10">
        <v>1.6122982590600732</v>
      </c>
      <c r="BJ8" s="12"/>
      <c r="BL8" s="13"/>
    </row>
    <row r="9" spans="1:64" x14ac:dyDescent="0.3">
      <c r="A9" s="38" t="s">
        <v>68</v>
      </c>
      <c r="B9" s="22">
        <v>2</v>
      </c>
      <c r="C9" s="33">
        <v>84.640020000000007</v>
      </c>
      <c r="D9" s="2">
        <v>83.1494</v>
      </c>
      <c r="E9" s="1">
        <v>87.288880000000006</v>
      </c>
      <c r="F9" s="1">
        <v>66.698509999999999</v>
      </c>
      <c r="G9" s="1">
        <v>88.579459999999997</v>
      </c>
      <c r="H9" s="1">
        <v>172.67856</v>
      </c>
      <c r="I9" s="1">
        <v>96.148520000000005</v>
      </c>
      <c r="J9" s="1">
        <v>106.75490000000001</v>
      </c>
      <c r="K9" s="1">
        <v>96.674490000000006</v>
      </c>
      <c r="L9" s="1">
        <v>144.90012999999999</v>
      </c>
      <c r="M9" s="1">
        <v>84.757199999999997</v>
      </c>
      <c r="N9" s="1">
        <v>107.29109</v>
      </c>
      <c r="O9">
        <v>99.881339999999994</v>
      </c>
      <c r="P9" s="2">
        <v>2.5367299999999999</v>
      </c>
      <c r="Q9" s="1">
        <v>2.6269900000000002</v>
      </c>
      <c r="R9" s="1">
        <v>2.90239</v>
      </c>
      <c r="S9" s="1">
        <v>2.7623899999999999</v>
      </c>
      <c r="T9" s="1">
        <v>3.9127800000000001</v>
      </c>
      <c r="U9" s="1">
        <v>3.35026</v>
      </c>
      <c r="V9" s="1">
        <v>3.5882800000000001</v>
      </c>
      <c r="W9" s="1">
        <v>3.3584100000000001</v>
      </c>
      <c r="X9" s="32">
        <v>4.25474</v>
      </c>
      <c r="Y9" s="2">
        <v>-94.348230000000001</v>
      </c>
      <c r="Z9" s="32">
        <v>82.355320000000006</v>
      </c>
      <c r="AA9">
        <v>2.3275199999999998</v>
      </c>
      <c r="AB9">
        <v>2.2966500000000001</v>
      </c>
      <c r="AC9">
        <v>3.1133999999999999</v>
      </c>
      <c r="AD9">
        <v>1.5929800000000001</v>
      </c>
      <c r="AE9" s="33">
        <v>1.8851199999999999</v>
      </c>
      <c r="AF9">
        <v>2025.63</v>
      </c>
      <c r="AG9" s="33">
        <v>442.56819999999999</v>
      </c>
      <c r="AH9">
        <v>2070.52</v>
      </c>
      <c r="AI9" s="33">
        <v>994.73360000000002</v>
      </c>
      <c r="AJ9">
        <v>-0.17</v>
      </c>
      <c r="AK9">
        <v>-0.10299999999999999</v>
      </c>
      <c r="AL9">
        <v>-0.253</v>
      </c>
      <c r="AM9">
        <v>-0.47499999999999998</v>
      </c>
      <c r="AN9">
        <v>0.129</v>
      </c>
      <c r="AO9" s="33">
        <v>-0.08</v>
      </c>
      <c r="AP9">
        <v>-1.52</v>
      </c>
      <c r="AQ9">
        <v>1.321</v>
      </c>
      <c r="AR9">
        <v>1.319</v>
      </c>
      <c r="AS9">
        <v>-0.44800000000000001</v>
      </c>
      <c r="AT9">
        <v>-0.191</v>
      </c>
      <c r="AU9" s="33">
        <v>0.155</v>
      </c>
      <c r="AV9">
        <v>-0.39800000000000002</v>
      </c>
      <c r="AW9">
        <v>0.35</v>
      </c>
      <c r="AX9">
        <v>0.45</v>
      </c>
      <c r="AY9">
        <v>-0.41699999999999998</v>
      </c>
      <c r="AZ9">
        <v>-5.3999999999999999E-2</v>
      </c>
      <c r="BA9" s="33">
        <v>-1.9E-2</v>
      </c>
      <c r="BB9">
        <v>-4.2220000000000001E-2</v>
      </c>
      <c r="BC9">
        <v>-0.20064000000000001</v>
      </c>
      <c r="BD9">
        <f t="shared" si="1"/>
        <v>-0.15842000000000001</v>
      </c>
      <c r="BE9">
        <v>-2181.6121303999998</v>
      </c>
      <c r="BF9">
        <v>0.46303</v>
      </c>
      <c r="BG9">
        <f t="shared" si="0"/>
        <v>-2181.1491004</v>
      </c>
      <c r="BH9" s="17">
        <v>0.66413271420011988</v>
      </c>
      <c r="BI9" s="10">
        <v>4.4119204965734173</v>
      </c>
      <c r="BJ9" s="12"/>
      <c r="BL9" s="13"/>
    </row>
    <row r="10" spans="1:64" x14ac:dyDescent="0.3">
      <c r="A10" s="38" t="s">
        <v>69</v>
      </c>
      <c r="B10" s="22">
        <v>4</v>
      </c>
      <c r="C10" s="33">
        <v>94.681259999999995</v>
      </c>
      <c r="D10" s="2">
        <v>82.833770000000001</v>
      </c>
      <c r="E10" s="1">
        <v>84.535839999999993</v>
      </c>
      <c r="F10" s="1">
        <v>63.330710000000003</v>
      </c>
      <c r="G10" s="1">
        <v>85.262029999999996</v>
      </c>
      <c r="H10" s="1">
        <v>177.71019999999999</v>
      </c>
      <c r="I10" s="1">
        <v>95.026039999999995</v>
      </c>
      <c r="J10" s="1">
        <v>108.69631</v>
      </c>
      <c r="K10" s="1">
        <v>94.293180000000007</v>
      </c>
      <c r="L10" s="1">
        <v>146.46029999999999</v>
      </c>
      <c r="M10" s="1">
        <v>86.326779999999999</v>
      </c>
      <c r="N10" s="1">
        <v>108.01533999999999</v>
      </c>
      <c r="O10" s="1">
        <v>95.861320000000006</v>
      </c>
      <c r="P10" s="2">
        <v>2.5230899999999998</v>
      </c>
      <c r="Q10" s="1">
        <v>2.5574400000000002</v>
      </c>
      <c r="R10" s="1">
        <v>2.8090000000000002</v>
      </c>
      <c r="S10" s="1">
        <v>2.6945899999999998</v>
      </c>
      <c r="T10" s="44">
        <v>3.9332400000000001</v>
      </c>
      <c r="U10" s="1">
        <v>3.3326899999999999</v>
      </c>
      <c r="V10" s="1">
        <v>3.6429999999999998</v>
      </c>
      <c r="W10" s="1">
        <v>3.3081</v>
      </c>
      <c r="X10" s="32">
        <v>4.2848699999999997</v>
      </c>
      <c r="Y10" s="2">
        <v>-90.255700000000004</v>
      </c>
      <c r="Z10" s="32">
        <v>85.349360000000004</v>
      </c>
      <c r="AA10">
        <v>2.3469799999999998</v>
      </c>
      <c r="AB10">
        <v>2.3126899999999999</v>
      </c>
      <c r="AC10">
        <v>3.4267799999999999</v>
      </c>
      <c r="AD10">
        <v>1.58701</v>
      </c>
      <c r="AE10" s="33">
        <v>1.8872599999999999</v>
      </c>
      <c r="AF10">
        <v>2062.89</v>
      </c>
      <c r="AG10" s="33">
        <v>832.13139999999999</v>
      </c>
      <c r="AH10">
        <v>2051.4899999999998</v>
      </c>
      <c r="AI10" s="33">
        <v>380.24380000000002</v>
      </c>
      <c r="AJ10">
        <v>-0.495</v>
      </c>
      <c r="AK10">
        <v>-0.27700000000000002</v>
      </c>
      <c r="AL10">
        <v>0.26300000000000001</v>
      </c>
      <c r="AM10">
        <v>-0.54</v>
      </c>
      <c r="AN10">
        <v>0.19400000000000001</v>
      </c>
      <c r="AO10" s="33">
        <v>-7.6999999999999999E-2</v>
      </c>
      <c r="AP10">
        <v>-1.5129999999999999</v>
      </c>
      <c r="AQ10">
        <v>1.3180000000000001</v>
      </c>
      <c r="AR10">
        <v>1.327</v>
      </c>
      <c r="AS10">
        <v>-0.441</v>
      </c>
      <c r="AT10">
        <v>-0.188</v>
      </c>
      <c r="AU10" s="33">
        <v>0.16400000000000001</v>
      </c>
      <c r="AV10">
        <v>-0.42899999999999999</v>
      </c>
      <c r="AW10">
        <v>0.371</v>
      </c>
      <c r="AX10">
        <v>0.39400000000000002</v>
      </c>
      <c r="AY10">
        <v>-0.41799999999999998</v>
      </c>
      <c r="AZ10">
        <v>-3.4000000000000002E-2</v>
      </c>
      <c r="BA10" s="33">
        <v>-1.9E-2</v>
      </c>
      <c r="BB10">
        <v>-3.4389999999999997E-2</v>
      </c>
      <c r="BC10">
        <v>-0.19953000000000001</v>
      </c>
      <c r="BD10">
        <f t="shared" si="1"/>
        <v>-0.16514000000000001</v>
      </c>
      <c r="BE10">
        <v>-2260.1834364000001</v>
      </c>
      <c r="BF10">
        <v>0.52023200000000003</v>
      </c>
      <c r="BG10">
        <f t="shared" si="0"/>
        <v>-2259.6632044000003</v>
      </c>
      <c r="BH10" s="17">
        <v>0.72864502853899282</v>
      </c>
      <c r="BI10" s="10">
        <v>4.2355868819652844</v>
      </c>
      <c r="BJ10" s="12"/>
      <c r="BL10" s="13"/>
    </row>
    <row r="11" spans="1:64" x14ac:dyDescent="0.3">
      <c r="A11" s="38" t="s">
        <v>70</v>
      </c>
      <c r="B11" s="22">
        <v>4</v>
      </c>
      <c r="C11" s="33">
        <v>108.2118</v>
      </c>
      <c r="D11">
        <v>86.534559999999999</v>
      </c>
      <c r="E11">
        <v>83.215609999999998</v>
      </c>
      <c r="F11">
        <v>60.25506</v>
      </c>
      <c r="G11">
        <v>75.690809999999999</v>
      </c>
      <c r="H11">
        <v>175.98954000000001</v>
      </c>
      <c r="I11">
        <v>94.275859999999994</v>
      </c>
      <c r="J11">
        <v>90.499849999999995</v>
      </c>
      <c r="K11">
        <v>95.04674</v>
      </c>
      <c r="L11">
        <v>124.88879</v>
      </c>
      <c r="M11">
        <v>83.429370000000006</v>
      </c>
      <c r="N11">
        <v>119.17657</v>
      </c>
      <c r="O11" s="33">
        <v>93.699110000000005</v>
      </c>
      <c r="P11">
        <v>2.6256200000000001</v>
      </c>
      <c r="Q11">
        <v>2.5571299999999999</v>
      </c>
      <c r="R11">
        <v>2.7384400000000002</v>
      </c>
      <c r="S11">
        <v>2.5303</v>
      </c>
      <c r="T11">
        <v>4.0171900000000003</v>
      </c>
      <c r="U11">
        <v>3.3992100000000001</v>
      </c>
      <c r="V11">
        <v>3.2688899999999999</v>
      </c>
      <c r="W11">
        <v>3.4281799999999998</v>
      </c>
      <c r="X11" s="33">
        <v>4.0875599999999999</v>
      </c>
      <c r="Y11" s="35">
        <v>-83.345550000000003</v>
      </c>
      <c r="Z11" s="33">
        <v>93.202619999999996</v>
      </c>
      <c r="AA11" s="43">
        <v>2.4381499999999998</v>
      </c>
      <c r="AB11">
        <v>2.4043999999999999</v>
      </c>
      <c r="AC11">
        <v>3.9230100000000001</v>
      </c>
      <c r="AD11">
        <v>1.5813900000000001</v>
      </c>
      <c r="AE11" s="33">
        <v>1.8648</v>
      </c>
      <c r="AF11">
        <v>2068.92</v>
      </c>
      <c r="AG11" s="33">
        <v>302.29489999999998</v>
      </c>
      <c r="AH11">
        <v>2044.28</v>
      </c>
      <c r="AI11" s="33">
        <v>1117.3593000000001</v>
      </c>
      <c r="AJ11">
        <v>2E-3</v>
      </c>
      <c r="AK11">
        <v>-0.66600000000000004</v>
      </c>
      <c r="AL11">
        <v>-0.24399999999999999</v>
      </c>
      <c r="AM11">
        <v>-0.64700000000000002</v>
      </c>
      <c r="AN11">
        <v>0.20499999999999999</v>
      </c>
      <c r="AO11" s="33">
        <v>-8.6999999999999994E-2</v>
      </c>
      <c r="AP11">
        <v>-1.331</v>
      </c>
      <c r="AQ11">
        <v>1.2949999999999999</v>
      </c>
      <c r="AR11">
        <v>1.321</v>
      </c>
      <c r="AS11">
        <v>-0.44800000000000001</v>
      </c>
      <c r="AT11">
        <v>-0.17</v>
      </c>
      <c r="AU11" s="33">
        <v>0.16</v>
      </c>
      <c r="AV11">
        <v>-0.318</v>
      </c>
      <c r="AW11">
        <v>0.374</v>
      </c>
      <c r="AX11">
        <v>0.35299999999999998</v>
      </c>
      <c r="AY11">
        <v>-0.379</v>
      </c>
      <c r="AZ11">
        <v>-2.8000000000000001E-2</v>
      </c>
      <c r="BA11" s="33">
        <v>4.0000000000000001E-3</v>
      </c>
      <c r="BB11">
        <v>-6.4509999999999998E-2</v>
      </c>
      <c r="BC11">
        <v>-0.19778999999999999</v>
      </c>
      <c r="BD11">
        <f t="shared" si="1"/>
        <v>-0.13328000000000001</v>
      </c>
      <c r="BE11">
        <v>-2181.5107555999998</v>
      </c>
      <c r="BF11">
        <v>0.46251199999999998</v>
      </c>
      <c r="BG11">
        <f t="shared" si="0"/>
        <v>-2181.0482435999998</v>
      </c>
      <c r="BH11" s="17">
        <v>0.72606902967424558</v>
      </c>
      <c r="BI11" s="10">
        <v>1.7576699446645991</v>
      </c>
      <c r="BJ11" s="12"/>
      <c r="BL11" s="13"/>
    </row>
    <row r="12" spans="1:64" x14ac:dyDescent="0.3">
      <c r="A12" s="38" t="s">
        <v>71</v>
      </c>
      <c r="B12" s="22">
        <v>4</v>
      </c>
      <c r="C12" s="33">
        <v>97.401390000000006</v>
      </c>
      <c r="D12" s="2">
        <v>79.077860000000001</v>
      </c>
      <c r="E12" s="1">
        <v>79.91995</v>
      </c>
      <c r="F12" s="1">
        <v>58.878619999999998</v>
      </c>
      <c r="G12" s="1">
        <v>79.960400000000007</v>
      </c>
      <c r="H12" s="1">
        <v>177.32311999999999</v>
      </c>
      <c r="I12" s="1">
        <v>101.11262000000001</v>
      </c>
      <c r="J12" s="1">
        <v>101.70922</v>
      </c>
      <c r="K12" s="1">
        <v>101.89512999999999</v>
      </c>
      <c r="L12" s="1">
        <v>137.75916000000001</v>
      </c>
      <c r="M12" s="1">
        <v>85.223879999999994</v>
      </c>
      <c r="N12" s="1">
        <v>112.79191</v>
      </c>
      <c r="O12">
        <v>96.267669999999995</v>
      </c>
      <c r="P12" s="2">
        <v>2.4348900000000002</v>
      </c>
      <c r="Q12" s="1">
        <v>2.4478200000000001</v>
      </c>
      <c r="R12" s="1">
        <v>2.6938599999999999</v>
      </c>
      <c r="S12" s="1">
        <v>2.61239</v>
      </c>
      <c r="T12" s="1">
        <v>4.0025599999999999</v>
      </c>
      <c r="U12" s="1">
        <v>3.5733899999999998</v>
      </c>
      <c r="V12" s="1">
        <v>3.5438000000000001</v>
      </c>
      <c r="W12" s="1">
        <v>3.5862699999999998</v>
      </c>
      <c r="X12" s="32">
        <v>4.2517500000000004</v>
      </c>
      <c r="Y12" s="2">
        <v>-87.579040000000006</v>
      </c>
      <c r="Z12" s="32">
        <v>85.129599999999996</v>
      </c>
      <c r="AA12">
        <v>2.4377800000000001</v>
      </c>
      <c r="AB12">
        <v>2.3818299999999999</v>
      </c>
      <c r="AC12">
        <v>3.6210300000000002</v>
      </c>
      <c r="AD12">
        <v>1.56582</v>
      </c>
      <c r="AE12" s="33">
        <v>1.8674299999999999</v>
      </c>
      <c r="AF12">
        <v>2168.54</v>
      </c>
      <c r="AG12" s="33">
        <v>282.54289999999997</v>
      </c>
      <c r="AH12">
        <v>2032.42</v>
      </c>
      <c r="AI12" s="33">
        <v>1053.8652</v>
      </c>
      <c r="AJ12">
        <v>-0.79600000000000004</v>
      </c>
      <c r="AK12">
        <v>8.5999999999999993E-2</v>
      </c>
      <c r="AL12">
        <v>0.77600000000000002</v>
      </c>
      <c r="AM12">
        <v>-0.751</v>
      </c>
      <c r="AN12">
        <v>0.42899999999999999</v>
      </c>
      <c r="AO12" s="33">
        <v>8.9999999999999993E-3</v>
      </c>
      <c r="AP12">
        <v>-1.41</v>
      </c>
      <c r="AQ12">
        <v>1.258</v>
      </c>
      <c r="AR12">
        <v>1.3029999999999999</v>
      </c>
      <c r="AS12">
        <v>-0.47099999999999997</v>
      </c>
      <c r="AT12">
        <v>-0.19800000000000001</v>
      </c>
      <c r="AU12" s="33">
        <v>0.182</v>
      </c>
      <c r="AV12">
        <v>-0.34100000000000003</v>
      </c>
      <c r="AW12">
        <v>0.33</v>
      </c>
      <c r="AX12">
        <v>0.28399999999999997</v>
      </c>
      <c r="AY12">
        <v>-0.48599999999999999</v>
      </c>
      <c r="AZ12">
        <v>-8.0000000000000002E-3</v>
      </c>
      <c r="BA12" s="33">
        <v>6.0000000000000001E-3</v>
      </c>
      <c r="BB12">
        <v>-1.2710000000000001E-2</v>
      </c>
      <c r="BC12">
        <v>-0.1961</v>
      </c>
      <c r="BD12">
        <f t="shared" si="1"/>
        <v>-0.18339</v>
      </c>
      <c r="BE12">
        <v>-1965.1424597</v>
      </c>
      <c r="BF12">
        <v>0.65685000000000004</v>
      </c>
      <c r="BG12">
        <f t="shared" si="0"/>
        <v>-1964.4856096999999</v>
      </c>
      <c r="BH12" s="17">
        <v>0.77115590804452716</v>
      </c>
      <c r="BI12" s="10">
        <v>1.4122734622469635</v>
      </c>
      <c r="BJ12" s="12"/>
      <c r="BL12" s="13"/>
    </row>
    <row r="13" spans="1:64" x14ac:dyDescent="0.3">
      <c r="A13" s="38" t="s">
        <v>72</v>
      </c>
      <c r="B13" s="22">
        <v>5</v>
      </c>
      <c r="C13" s="33">
        <v>109.41567000000001</v>
      </c>
      <c r="D13" s="2">
        <v>86.511470000000003</v>
      </c>
      <c r="E13" s="1">
        <v>82.622820000000004</v>
      </c>
      <c r="F13" s="1">
        <v>59.549190000000003</v>
      </c>
      <c r="G13" s="1">
        <v>78.179739999999995</v>
      </c>
      <c r="H13" s="1">
        <v>172.30071000000001</v>
      </c>
      <c r="I13" s="1">
        <v>93.952640000000002</v>
      </c>
      <c r="J13" s="1">
        <v>94.714939999999999</v>
      </c>
      <c r="K13" s="1">
        <v>93.032399999999996</v>
      </c>
      <c r="L13" s="1">
        <v>129.73445000000001</v>
      </c>
      <c r="M13" s="1">
        <v>83.923280000000005</v>
      </c>
      <c r="N13" s="1">
        <v>112.47023</v>
      </c>
      <c r="O13">
        <v>91.767089999999996</v>
      </c>
      <c r="P13" s="2">
        <v>2.6117699999999999</v>
      </c>
      <c r="Q13" s="1">
        <v>2.5263100000000001</v>
      </c>
      <c r="R13" s="1">
        <v>2.7162099999999998</v>
      </c>
      <c r="S13" s="1">
        <v>2.5587499999999999</v>
      </c>
      <c r="T13" s="1">
        <v>3.95017</v>
      </c>
      <c r="U13" s="1">
        <v>3.3349099999999998</v>
      </c>
      <c r="V13" s="1">
        <v>3.3426200000000001</v>
      </c>
      <c r="W13" s="1">
        <v>3.3144300000000002</v>
      </c>
      <c r="X13" s="32">
        <v>4.1176199999999996</v>
      </c>
      <c r="Y13" s="2">
        <v>-82.449399999999997</v>
      </c>
      <c r="Z13" s="32">
        <v>93.843149999999994</v>
      </c>
      <c r="AA13">
        <v>2.3793700000000002</v>
      </c>
      <c r="AB13">
        <v>2.3624999999999998</v>
      </c>
      <c r="AC13">
        <v>3.8704000000000001</v>
      </c>
      <c r="AD13">
        <v>1.5793699999999999</v>
      </c>
      <c r="AE13" s="33">
        <v>1.8704799999999999</v>
      </c>
      <c r="AF13">
        <v>2090.63</v>
      </c>
      <c r="AG13" s="33">
        <v>434.88679999999999</v>
      </c>
      <c r="AH13">
        <v>2048.4499999999998</v>
      </c>
      <c r="AI13" s="33">
        <v>1000.9549</v>
      </c>
      <c r="AJ13">
        <v>-0.40200000000000002</v>
      </c>
      <c r="AK13">
        <v>-0.26700000000000002</v>
      </c>
      <c r="AL13">
        <v>-0.45900000000000002</v>
      </c>
      <c r="AM13">
        <v>-0.60899999999999999</v>
      </c>
      <c r="AN13">
        <v>0.182</v>
      </c>
      <c r="AO13" s="33">
        <v>4.0000000000000001E-3</v>
      </c>
      <c r="AP13">
        <v>-1.3759999999999999</v>
      </c>
      <c r="AQ13">
        <v>1.274</v>
      </c>
      <c r="AR13">
        <v>1.26</v>
      </c>
      <c r="AS13">
        <v>-0.44</v>
      </c>
      <c r="AT13">
        <v>-0.17799999999999999</v>
      </c>
      <c r="AU13" s="33">
        <v>0.16500000000000001</v>
      </c>
      <c r="AV13">
        <v>-0.34100000000000003</v>
      </c>
      <c r="AW13">
        <v>0.39800000000000002</v>
      </c>
      <c r="AX13">
        <v>0.42</v>
      </c>
      <c r="AY13">
        <v>-0.36599999999999999</v>
      </c>
      <c r="AZ13">
        <v>-4.8000000000000001E-2</v>
      </c>
      <c r="BA13" s="33">
        <v>-1E-3</v>
      </c>
      <c r="BB13">
        <v>-4.2529999999999998E-2</v>
      </c>
      <c r="BC13">
        <v>-0.19244</v>
      </c>
      <c r="BD13">
        <f t="shared" si="1"/>
        <v>-0.14990999999999999</v>
      </c>
      <c r="BE13">
        <v>-2604.3054929999998</v>
      </c>
      <c r="BF13">
        <v>0.60149699999999995</v>
      </c>
      <c r="BG13">
        <f t="shared" si="0"/>
        <v>-2603.7039959999997</v>
      </c>
      <c r="BH13" s="17">
        <v>0.72100178171612372</v>
      </c>
      <c r="BI13" s="10">
        <v>11.182285418494418</v>
      </c>
      <c r="BJ13" s="12"/>
      <c r="BL13" s="13"/>
    </row>
    <row r="14" spans="1:64" x14ac:dyDescent="0.3">
      <c r="A14" s="38" t="s">
        <v>73</v>
      </c>
      <c r="B14" s="22">
        <v>5</v>
      </c>
      <c r="C14" s="33">
        <v>101.34435000000001</v>
      </c>
      <c r="D14" s="2">
        <v>86.420969999999997</v>
      </c>
      <c r="E14" s="1">
        <v>83.23706</v>
      </c>
      <c r="F14" s="1">
        <v>60.281509999999997</v>
      </c>
      <c r="G14" s="1">
        <v>80.241039999999998</v>
      </c>
      <c r="H14" s="1">
        <v>178.26201</v>
      </c>
      <c r="I14" s="1">
        <v>94.066760000000002</v>
      </c>
      <c r="J14" s="1">
        <v>97.033670000000001</v>
      </c>
      <c r="K14" s="1">
        <v>96.123869999999997</v>
      </c>
      <c r="L14" s="1">
        <v>132.79321999999999</v>
      </c>
      <c r="M14" s="1">
        <v>85.260009999999994</v>
      </c>
      <c r="N14" s="1">
        <v>116.85536</v>
      </c>
      <c r="O14">
        <v>93.361660000000001</v>
      </c>
      <c r="P14" s="2">
        <v>2.61165</v>
      </c>
      <c r="Q14" s="1">
        <v>2.5402399999999998</v>
      </c>
      <c r="R14" s="1">
        <v>2.7313499999999999</v>
      </c>
      <c r="S14" s="1">
        <v>2.5895700000000001</v>
      </c>
      <c r="T14" s="1">
        <v>3.9541200000000001</v>
      </c>
      <c r="U14" s="1">
        <v>3.33005</v>
      </c>
      <c r="V14" s="1">
        <v>3.3814500000000001</v>
      </c>
      <c r="W14" s="1">
        <v>3.3875199999999999</v>
      </c>
      <c r="X14" s="32">
        <v>4.1377899999999999</v>
      </c>
      <c r="Y14" s="2">
        <v>-83.576769999999996</v>
      </c>
      <c r="Z14" s="32">
        <v>92.883560000000003</v>
      </c>
      <c r="AA14">
        <v>2.3699699999999999</v>
      </c>
      <c r="AB14">
        <v>2.3342900000000002</v>
      </c>
      <c r="AC14">
        <v>3.63897</v>
      </c>
      <c r="AD14">
        <v>1.5845899999999999</v>
      </c>
      <c r="AE14" s="33">
        <v>1.8763399999999999</v>
      </c>
      <c r="AF14">
        <v>2064.5100000000002</v>
      </c>
      <c r="AG14" s="33">
        <v>463.36939999999998</v>
      </c>
      <c r="AH14">
        <v>2046.34</v>
      </c>
      <c r="AI14" s="33">
        <v>1007.6697</v>
      </c>
      <c r="AJ14">
        <v>-0.13200000000000001</v>
      </c>
      <c r="AK14">
        <v>-0.185</v>
      </c>
      <c r="AL14">
        <v>-0.57199999999999995</v>
      </c>
      <c r="AM14">
        <v>-0.66400000000000003</v>
      </c>
      <c r="AN14">
        <v>0.28999999999999998</v>
      </c>
      <c r="AO14" s="33">
        <v>-0.08</v>
      </c>
      <c r="AP14">
        <v>-1.4450000000000001</v>
      </c>
      <c r="AQ14">
        <v>1.29</v>
      </c>
      <c r="AR14">
        <v>1.3089999999999999</v>
      </c>
      <c r="AS14">
        <v>-0.42899999999999999</v>
      </c>
      <c r="AT14">
        <v>-0.18</v>
      </c>
      <c r="AU14" s="33">
        <v>0.16800000000000001</v>
      </c>
      <c r="AV14">
        <v>-0.39300000000000002</v>
      </c>
      <c r="AW14">
        <v>0.496</v>
      </c>
      <c r="AX14">
        <v>0.47699999999999998</v>
      </c>
      <c r="AY14">
        <v>-0.372</v>
      </c>
      <c r="AZ14">
        <v>-2.9000000000000001E-2</v>
      </c>
      <c r="BA14" s="33">
        <v>-2E-3</v>
      </c>
      <c r="BB14">
        <v>-3.984E-2</v>
      </c>
      <c r="BC14">
        <v>-0.19719</v>
      </c>
      <c r="BD14">
        <f t="shared" si="1"/>
        <v>-0.15734999999999999</v>
      </c>
      <c r="BE14">
        <v>-2487.6567559999999</v>
      </c>
      <c r="BF14">
        <v>0.54121900000000001</v>
      </c>
      <c r="BG14">
        <f t="shared" si="0"/>
        <v>-2487.1155369999997</v>
      </c>
      <c r="BH14" s="17">
        <v>0.72905498092144683</v>
      </c>
      <c r="BI14" s="10">
        <v>2.8382875867722874</v>
      </c>
      <c r="BJ14" s="12"/>
      <c r="BL14" s="13"/>
    </row>
    <row r="15" spans="1:64" x14ac:dyDescent="0.3">
      <c r="A15" s="38" t="s">
        <v>74</v>
      </c>
      <c r="B15" s="22">
        <v>5</v>
      </c>
      <c r="C15" s="33">
        <v>102.10760000000001</v>
      </c>
      <c r="D15" s="2">
        <v>83.143389999999997</v>
      </c>
      <c r="E15" s="1">
        <v>84.586439999999996</v>
      </c>
      <c r="F15" s="1">
        <v>63.447319999999998</v>
      </c>
      <c r="G15" s="1">
        <v>85.478409999999997</v>
      </c>
      <c r="H15" s="1">
        <v>172.41138000000001</v>
      </c>
      <c r="I15" s="1">
        <v>95.923519999999996</v>
      </c>
      <c r="J15" s="1">
        <v>94.545659999999998</v>
      </c>
      <c r="K15" s="1">
        <v>90.055769999999995</v>
      </c>
      <c r="L15" s="1">
        <v>132.26703000000001</v>
      </c>
      <c r="M15" s="1">
        <v>83.048569999999998</v>
      </c>
      <c r="N15" s="1">
        <v>109.15022999999999</v>
      </c>
      <c r="O15">
        <v>94.500489999999999</v>
      </c>
      <c r="P15" s="2">
        <v>2.5244</v>
      </c>
      <c r="Q15" s="1">
        <v>2.5715599999999998</v>
      </c>
      <c r="R15" s="1">
        <v>2.8285200000000001</v>
      </c>
      <c r="S15" s="1">
        <v>2.7320099999999998</v>
      </c>
      <c r="T15" s="1">
        <v>3.9489399999999999</v>
      </c>
      <c r="U15" s="1">
        <v>3.38097</v>
      </c>
      <c r="V15" s="1">
        <v>3.3278599999999998</v>
      </c>
      <c r="W15" s="1">
        <v>3.2326600000000001</v>
      </c>
      <c r="X15" s="32">
        <v>4.1558799999999998</v>
      </c>
      <c r="Y15" s="2">
        <v>-89.985500000000002</v>
      </c>
      <c r="Z15" s="32">
        <v>85.785799999999995</v>
      </c>
      <c r="AA15">
        <v>2.38</v>
      </c>
      <c r="AB15">
        <v>2.35853</v>
      </c>
      <c r="AC15">
        <v>3.6853500000000001</v>
      </c>
      <c r="AD15">
        <v>1.5772600000000001</v>
      </c>
      <c r="AE15" s="33">
        <v>1.8687499999999999</v>
      </c>
      <c r="AF15">
        <v>2110.36</v>
      </c>
      <c r="AG15" s="33">
        <v>421.245</v>
      </c>
      <c r="AH15">
        <v>2047.7</v>
      </c>
      <c r="AI15" s="33">
        <v>1065.3735999999999</v>
      </c>
      <c r="AJ15">
        <v>0.13800000000000001</v>
      </c>
      <c r="AK15">
        <v>-0.50900000000000001</v>
      </c>
      <c r="AL15">
        <v>-0.27200000000000002</v>
      </c>
      <c r="AM15">
        <v>-0.45600000000000002</v>
      </c>
      <c r="AN15">
        <v>0.193</v>
      </c>
      <c r="AO15" s="33">
        <v>-0.157</v>
      </c>
      <c r="AP15">
        <v>-1.42</v>
      </c>
      <c r="AQ15">
        <v>1.2949999999999999</v>
      </c>
      <c r="AR15">
        <v>1.292</v>
      </c>
      <c r="AS15">
        <v>-0.434</v>
      </c>
      <c r="AT15">
        <v>-0.191</v>
      </c>
      <c r="AU15" s="33">
        <v>0.156</v>
      </c>
      <c r="AV15">
        <v>-0.40300000000000002</v>
      </c>
      <c r="AW15">
        <v>0.48899999999999999</v>
      </c>
      <c r="AX15">
        <v>0.48</v>
      </c>
      <c r="AY15">
        <v>-0.34499999999999997</v>
      </c>
      <c r="AZ15">
        <v>-0.11700000000000001</v>
      </c>
      <c r="BA15" s="33">
        <v>-2.3E-2</v>
      </c>
      <c r="BB15">
        <v>-3.2870000000000003E-2</v>
      </c>
      <c r="BC15">
        <v>-0.19305</v>
      </c>
      <c r="BD15">
        <f t="shared" si="1"/>
        <v>-0.16017999999999999</v>
      </c>
      <c r="BE15">
        <v>-2541.7888329000002</v>
      </c>
      <c r="BF15">
        <v>0.54015800000000003</v>
      </c>
      <c r="BG15">
        <f t="shared" si="0"/>
        <v>-2541.2486749000004</v>
      </c>
      <c r="BH15" s="17">
        <v>0.72669381287250479</v>
      </c>
      <c r="BI15" s="10">
        <v>18.948280452632151</v>
      </c>
      <c r="BJ15" s="12"/>
      <c r="BL15" s="13"/>
    </row>
    <row r="16" spans="1:64" x14ac:dyDescent="0.3">
      <c r="A16" s="38" t="s">
        <v>75</v>
      </c>
      <c r="B16" s="22">
        <v>5</v>
      </c>
      <c r="C16" s="33">
        <v>109.02504999999999</v>
      </c>
      <c r="D16" s="2">
        <v>87.128969999999995</v>
      </c>
      <c r="E16" s="1">
        <v>82.020319999999998</v>
      </c>
      <c r="F16" s="1">
        <v>58.754449999999999</v>
      </c>
      <c r="G16" s="1">
        <v>75.525170000000003</v>
      </c>
      <c r="H16" s="1">
        <v>175.38147000000001</v>
      </c>
      <c r="I16" s="1">
        <v>92.796509999999998</v>
      </c>
      <c r="J16" s="1">
        <v>99.482780000000005</v>
      </c>
      <c r="K16" s="1">
        <v>95.049170000000004</v>
      </c>
      <c r="L16" s="1">
        <v>133.47749999999999</v>
      </c>
      <c r="M16" s="1">
        <v>84.338089999999994</v>
      </c>
      <c r="N16" s="1">
        <v>106.91836000000001</v>
      </c>
      <c r="O16">
        <v>93.419219999999996</v>
      </c>
      <c r="P16" s="2">
        <v>2.6080100000000002</v>
      </c>
      <c r="Q16" s="1">
        <v>2.4846699999999999</v>
      </c>
      <c r="R16" s="1">
        <v>2.6869200000000002</v>
      </c>
      <c r="S16" s="1">
        <v>2.5237799999999999</v>
      </c>
      <c r="T16" s="1">
        <v>3.99593</v>
      </c>
      <c r="U16" s="1">
        <v>3.3207800000000001</v>
      </c>
      <c r="V16" s="1">
        <v>3.4840800000000001</v>
      </c>
      <c r="W16" s="1">
        <v>3.3775400000000002</v>
      </c>
      <c r="X16" s="32">
        <v>4.1854399999999998</v>
      </c>
      <c r="Y16" s="2">
        <v>-80.780050000000003</v>
      </c>
      <c r="Z16" s="32">
        <v>95.449399999999997</v>
      </c>
      <c r="AA16">
        <v>2.4215200000000001</v>
      </c>
      <c r="AB16">
        <v>2.4033899999999999</v>
      </c>
      <c r="AC16">
        <v>3.9286599999999998</v>
      </c>
      <c r="AD16">
        <v>1.57751</v>
      </c>
      <c r="AE16" s="33">
        <v>1.8688899999999999</v>
      </c>
      <c r="AF16">
        <v>2091.34</v>
      </c>
      <c r="AG16" s="33">
        <v>396.63580000000002</v>
      </c>
      <c r="AH16">
        <v>2031.59</v>
      </c>
      <c r="AI16" s="33">
        <v>990.05589999999995</v>
      </c>
      <c r="AJ16">
        <v>-3.0000000000000001E-3</v>
      </c>
      <c r="AK16">
        <v>-0.76800000000000002</v>
      </c>
      <c r="AL16">
        <v>-1.798</v>
      </c>
      <c r="AM16">
        <v>-0.61799999999999999</v>
      </c>
      <c r="AN16">
        <v>0.20399999999999999</v>
      </c>
      <c r="AO16" s="33">
        <v>-3.6999999999999998E-2</v>
      </c>
      <c r="AP16">
        <v>-1.335</v>
      </c>
      <c r="AQ16">
        <v>1.286</v>
      </c>
      <c r="AR16">
        <v>1.2809999999999999</v>
      </c>
      <c r="AS16">
        <v>-0.46200000000000002</v>
      </c>
      <c r="AT16">
        <v>-0.193</v>
      </c>
      <c r="AU16" s="33">
        <v>0.16200000000000001</v>
      </c>
      <c r="AV16">
        <v>-0.33400000000000002</v>
      </c>
      <c r="AW16">
        <v>0.33</v>
      </c>
      <c r="AX16">
        <v>0.45200000000000001</v>
      </c>
      <c r="AY16">
        <v>-0.41899999999999998</v>
      </c>
      <c r="AZ16">
        <v>-2.1999999999999999E-2</v>
      </c>
      <c r="BA16" s="33">
        <v>1.0999999999999999E-2</v>
      </c>
      <c r="BB16">
        <v>-3.125E-2</v>
      </c>
      <c r="BC16">
        <v>-0.18554999999999999</v>
      </c>
      <c r="BD16">
        <f t="shared" si="1"/>
        <v>-0.15429999999999999</v>
      </c>
      <c r="BE16">
        <v>-2618.7577246000001</v>
      </c>
      <c r="BF16">
        <v>0.88189399999999996</v>
      </c>
      <c r="BG16">
        <f t="shared" si="0"/>
        <v>-2617.8758306</v>
      </c>
      <c r="BH16" s="17">
        <v>0.74853757371259189</v>
      </c>
      <c r="BI16" s="10">
        <v>15.268491231205651</v>
      </c>
      <c r="BJ16" s="12"/>
      <c r="BL16" s="13"/>
    </row>
    <row r="17" spans="1:64" x14ac:dyDescent="0.3">
      <c r="A17" s="38" t="s">
        <v>76</v>
      </c>
      <c r="B17" s="22">
        <v>5</v>
      </c>
      <c r="C17" s="1">
        <v>109.25429</v>
      </c>
      <c r="D17" s="2">
        <v>88.917919999999995</v>
      </c>
      <c r="E17" s="1">
        <v>79.697019999999995</v>
      </c>
      <c r="F17" s="1">
        <v>55.317740000000001</v>
      </c>
      <c r="G17" s="1">
        <v>73.334670000000003</v>
      </c>
      <c r="H17" s="1">
        <v>176.37168</v>
      </c>
      <c r="I17" s="1">
        <v>87.88485</v>
      </c>
      <c r="J17" s="1">
        <v>106.61678000000001</v>
      </c>
      <c r="K17" s="1">
        <v>96.719809999999995</v>
      </c>
      <c r="L17" s="1">
        <v>136.13499999999999</v>
      </c>
      <c r="M17" s="1">
        <v>84.03228</v>
      </c>
      <c r="N17" s="1">
        <v>108.00619</v>
      </c>
      <c r="O17">
        <v>97.388249999999999</v>
      </c>
      <c r="P17" s="2">
        <v>2.6565300000000001</v>
      </c>
      <c r="Q17" s="1">
        <v>2.4214099999999998</v>
      </c>
      <c r="R17" s="1">
        <v>2.5877500000000002</v>
      </c>
      <c r="S17" s="1">
        <v>2.6128900000000002</v>
      </c>
      <c r="T17" s="1">
        <v>4.0650399999999998</v>
      </c>
      <c r="U17" s="1">
        <v>3.25726</v>
      </c>
      <c r="V17" s="1">
        <v>3.8306100000000001</v>
      </c>
      <c r="W17" s="1">
        <v>3.4859200000000001</v>
      </c>
      <c r="X17" s="32">
        <v>4.3994900000000001</v>
      </c>
      <c r="Y17" s="1">
        <v>-74.618880000000004</v>
      </c>
      <c r="Z17" s="1">
        <v>101.53301999999999</v>
      </c>
      <c r="AA17" s="34">
        <v>2.5039199999999999</v>
      </c>
      <c r="AB17" s="24">
        <v>2.5895100000000002</v>
      </c>
      <c r="AC17" s="1">
        <v>4.1534899999999997</v>
      </c>
      <c r="AD17" s="1">
        <v>1.56304</v>
      </c>
      <c r="AE17" s="1">
        <v>1.86595</v>
      </c>
      <c r="AF17" s="2">
        <v>2159.0500000000002</v>
      </c>
      <c r="AG17" s="1">
        <v>347.02859999999998</v>
      </c>
      <c r="AH17" s="2">
        <v>2025.67</v>
      </c>
      <c r="AI17" s="1">
        <v>1115.9318000000001</v>
      </c>
      <c r="AJ17" s="2">
        <v>-0.36899999999999999</v>
      </c>
      <c r="AK17" s="1">
        <v>-0.313</v>
      </c>
      <c r="AL17" s="1">
        <v>-0.67400000000000004</v>
      </c>
      <c r="AM17" s="1">
        <v>-0.59699999999999998</v>
      </c>
      <c r="AN17" s="1">
        <v>0.29299999999999998</v>
      </c>
      <c r="AO17" s="1">
        <v>-2.9000000000000001E-2</v>
      </c>
      <c r="AP17" s="2">
        <v>-1.0900000000000001</v>
      </c>
      <c r="AQ17" s="1">
        <v>1.2030000000000001</v>
      </c>
      <c r="AR17" s="1">
        <v>1.131</v>
      </c>
      <c r="AS17" s="1">
        <v>-0.48099999999999998</v>
      </c>
      <c r="AT17" s="1">
        <v>-0.19700000000000001</v>
      </c>
      <c r="AU17" s="1">
        <v>0.14199999999999999</v>
      </c>
      <c r="AV17" s="2">
        <v>-0.21299999999999999</v>
      </c>
      <c r="AW17" s="1">
        <v>0.24199999999999999</v>
      </c>
      <c r="AX17" s="1">
        <v>0.20599999999999999</v>
      </c>
      <c r="AY17" s="1">
        <v>-0.49199999999999999</v>
      </c>
      <c r="AZ17" s="1">
        <v>-7.0000000000000001E-3</v>
      </c>
      <c r="BA17" s="1">
        <v>-0.02</v>
      </c>
      <c r="BB17" s="2">
        <v>-3.091E-2</v>
      </c>
      <c r="BC17" s="1">
        <v>-0.18398999999999999</v>
      </c>
      <c r="BD17">
        <f t="shared" si="1"/>
        <v>-0.15307999999999999</v>
      </c>
      <c r="BE17">
        <v>-2309.2689190000001</v>
      </c>
      <c r="BF17">
        <v>0.74630099999999999</v>
      </c>
      <c r="BG17">
        <f t="shared" si="0"/>
        <v>-2308.522618</v>
      </c>
      <c r="BH17" s="17">
        <v>0.78534065466241998</v>
      </c>
      <c r="BI17" s="10">
        <v>1.2379912970762199</v>
      </c>
      <c r="BJ17" s="12"/>
      <c r="BL17" s="13"/>
    </row>
    <row r="18" spans="1:64" x14ac:dyDescent="0.3">
      <c r="A18" s="38" t="s">
        <v>77</v>
      </c>
      <c r="B18" s="22">
        <v>5</v>
      </c>
      <c r="C18" s="33">
        <v>110.28084</v>
      </c>
      <c r="D18" s="2">
        <v>87.002840000000006</v>
      </c>
      <c r="E18" s="1">
        <v>82.7012</v>
      </c>
      <c r="F18" s="1">
        <v>59.629579999999997</v>
      </c>
      <c r="G18" s="1">
        <v>79.040790000000001</v>
      </c>
      <c r="H18" s="1">
        <v>170.53193999999999</v>
      </c>
      <c r="I18" s="1">
        <v>93.603769999999997</v>
      </c>
      <c r="J18" s="1">
        <v>95.255030000000005</v>
      </c>
      <c r="K18" s="1">
        <v>91.958590000000001</v>
      </c>
      <c r="L18" s="1">
        <v>130.56616</v>
      </c>
      <c r="M18" s="1">
        <v>83.809820000000002</v>
      </c>
      <c r="N18" s="1">
        <v>111.44683000000001</v>
      </c>
      <c r="O18">
        <v>90.965159999999997</v>
      </c>
      <c r="P18" s="2">
        <v>2.6143999999999998</v>
      </c>
      <c r="Q18" s="1">
        <v>2.5081799999999999</v>
      </c>
      <c r="R18" s="1">
        <v>2.7153100000000001</v>
      </c>
      <c r="S18" s="1">
        <v>2.63808</v>
      </c>
      <c r="T18" s="1">
        <v>4.0338000000000003</v>
      </c>
      <c r="U18" s="1">
        <v>3.4039700000000002</v>
      </c>
      <c r="V18" s="1">
        <v>3.4181400000000002</v>
      </c>
      <c r="W18" s="1">
        <v>3.3521899999999998</v>
      </c>
      <c r="X18" s="32">
        <v>4.1907300000000003</v>
      </c>
      <c r="Y18" s="2">
        <v>-81.970309999999998</v>
      </c>
      <c r="Z18" s="32">
        <v>94.498559999999998</v>
      </c>
      <c r="AA18" s="43">
        <v>2.4825400000000002</v>
      </c>
      <c r="AB18">
        <v>2.4423300000000001</v>
      </c>
      <c r="AC18">
        <v>4.0411900000000003</v>
      </c>
      <c r="AD18">
        <v>1.5643499999999999</v>
      </c>
      <c r="AE18" s="33">
        <v>1.8635299999999999</v>
      </c>
      <c r="AF18">
        <v>2145.87</v>
      </c>
      <c r="AG18" s="33">
        <v>392.0179</v>
      </c>
      <c r="AH18">
        <v>2050.8000000000002</v>
      </c>
      <c r="AI18" s="33">
        <v>1026.0708</v>
      </c>
      <c r="AJ18">
        <v>-0.218</v>
      </c>
      <c r="AK18">
        <v>-0.183</v>
      </c>
      <c r="AL18">
        <v>-0.11600000000000001</v>
      </c>
      <c r="AM18">
        <v>-0.54900000000000004</v>
      </c>
      <c r="AN18">
        <v>0.12</v>
      </c>
      <c r="AO18" s="33">
        <v>-7.4999999999999997E-2</v>
      </c>
      <c r="AP18">
        <v>-1.2729999999999999</v>
      </c>
      <c r="AQ18">
        <v>1.23</v>
      </c>
      <c r="AR18">
        <v>1.2390000000000001</v>
      </c>
      <c r="AS18">
        <v>-0.46100000000000002</v>
      </c>
      <c r="AT18">
        <v>-0.185</v>
      </c>
      <c r="AU18" s="33">
        <v>0.17299999999999999</v>
      </c>
      <c r="AV18">
        <v>-0.377</v>
      </c>
      <c r="AW18">
        <v>0.46700000000000003</v>
      </c>
      <c r="AX18">
        <v>0.46800000000000003</v>
      </c>
      <c r="AY18">
        <v>-0.4</v>
      </c>
      <c r="AZ18">
        <v>-4.9000000000000002E-2</v>
      </c>
      <c r="BA18" s="33">
        <v>1.7000000000000001E-2</v>
      </c>
      <c r="BB18">
        <v>-5.4239999999999997E-2</v>
      </c>
      <c r="BC18">
        <v>-0.19336</v>
      </c>
      <c r="BD18">
        <f t="shared" si="1"/>
        <v>-0.13912000000000002</v>
      </c>
      <c r="BE18">
        <v>-2486.4410323000002</v>
      </c>
      <c r="BF18">
        <v>0.52086299999999996</v>
      </c>
      <c r="BG18">
        <f t="shared" si="0"/>
        <v>-2485.9201693</v>
      </c>
      <c r="BH18" s="17">
        <v>0.7131180820535461</v>
      </c>
      <c r="BI18" s="10">
        <v>1.9337519548456119</v>
      </c>
      <c r="BJ18" s="12"/>
      <c r="BL18" s="13"/>
    </row>
    <row r="19" spans="1:64" x14ac:dyDescent="0.3">
      <c r="A19" s="38" t="s">
        <v>78</v>
      </c>
      <c r="B19" s="22">
        <v>6</v>
      </c>
      <c r="C19" s="33">
        <v>105.29232</v>
      </c>
      <c r="D19" s="2">
        <v>85.585009999999997</v>
      </c>
      <c r="E19" s="1">
        <v>80.757289999999998</v>
      </c>
      <c r="F19" s="1">
        <v>57.6706</v>
      </c>
      <c r="G19" s="1">
        <v>82.375029999999995</v>
      </c>
      <c r="H19" s="1">
        <v>172.30779999999999</v>
      </c>
      <c r="I19" s="1">
        <v>93.289469999999994</v>
      </c>
      <c r="J19" s="1">
        <v>95.255030000000005</v>
      </c>
      <c r="K19" s="1">
        <v>93.690669999999997</v>
      </c>
      <c r="L19" s="1">
        <v>137.10052999999999</v>
      </c>
      <c r="M19" s="1">
        <v>82.982680000000002</v>
      </c>
      <c r="N19" s="1">
        <v>107.10478999999999</v>
      </c>
      <c r="O19">
        <v>93.973129999999998</v>
      </c>
      <c r="P19" s="2">
        <v>2.5901100000000001</v>
      </c>
      <c r="Q19" s="1">
        <v>2.47817</v>
      </c>
      <c r="R19" s="1">
        <v>2.6732800000000001</v>
      </c>
      <c r="S19" s="1">
        <v>2.6422599999999998</v>
      </c>
      <c r="T19" s="1">
        <v>3.9330799999999999</v>
      </c>
      <c r="U19" s="1">
        <v>3.3135400000000002</v>
      </c>
      <c r="V19" s="1">
        <v>3.5177800000000001</v>
      </c>
      <c r="W19" s="1">
        <v>3.3256399999999999</v>
      </c>
      <c r="X19" s="32">
        <v>4.2149099999999997</v>
      </c>
      <c r="Y19" s="2">
        <v>-80.592190000000002</v>
      </c>
      <c r="Z19" s="32">
        <v>94.753119999999996</v>
      </c>
      <c r="AA19">
        <v>2.3702100000000002</v>
      </c>
      <c r="AB19">
        <v>2.34293</v>
      </c>
      <c r="AC19">
        <v>3.7465299999999999</v>
      </c>
      <c r="AD19">
        <v>1.57138</v>
      </c>
      <c r="AE19" s="33">
        <v>1.8710599999999999</v>
      </c>
      <c r="AF19">
        <v>2146.0100000000002</v>
      </c>
      <c r="AG19" s="33">
        <v>328.59179999999998</v>
      </c>
      <c r="AH19">
        <v>2055.6799999999998</v>
      </c>
      <c r="AI19" s="33">
        <v>873.18439999999998</v>
      </c>
      <c r="AJ19">
        <v>-0.61899999999999999</v>
      </c>
      <c r="AK19">
        <v>-0.12</v>
      </c>
      <c r="AL19">
        <v>-0.20200000000000001</v>
      </c>
      <c r="AM19">
        <v>-0.629</v>
      </c>
      <c r="AN19">
        <v>0.22800000000000001</v>
      </c>
      <c r="AO19" s="33">
        <v>-5.0000000000000001E-3</v>
      </c>
      <c r="AP19">
        <v>-1.4470000000000001</v>
      </c>
      <c r="AQ19">
        <v>1.2929999999999999</v>
      </c>
      <c r="AR19">
        <v>1.2749999999999999</v>
      </c>
      <c r="AS19">
        <v>-0.44900000000000001</v>
      </c>
      <c r="AT19">
        <v>-0.182</v>
      </c>
      <c r="AU19" s="33">
        <v>0.17799999999999999</v>
      </c>
      <c r="AV19">
        <v>-0.38400000000000001</v>
      </c>
      <c r="AW19">
        <v>0.33200000000000002</v>
      </c>
      <c r="AX19">
        <v>0.39300000000000002</v>
      </c>
      <c r="AY19">
        <v>-0.44900000000000001</v>
      </c>
      <c r="AZ19">
        <v>4.4999999999999998E-2</v>
      </c>
      <c r="BA19" s="33">
        <v>-1E-3</v>
      </c>
      <c r="BB19">
        <v>-3.2059999999999998E-2</v>
      </c>
      <c r="BC19">
        <v>-0.19422</v>
      </c>
      <c r="BD19">
        <f t="shared" si="1"/>
        <v>-0.16216</v>
      </c>
      <c r="BE19">
        <v>-2491.0571633</v>
      </c>
      <c r="BF19">
        <v>0.59358299999999997</v>
      </c>
      <c r="BG19">
        <f t="shared" si="0"/>
        <v>-2490.4635803000001</v>
      </c>
      <c r="BH19" s="17">
        <v>0.77387184257828512</v>
      </c>
      <c r="BI19" s="10">
        <v>18.563599805745877</v>
      </c>
      <c r="BJ19" s="12"/>
      <c r="BL19" s="13"/>
    </row>
    <row r="20" spans="1:64" x14ac:dyDescent="0.3">
      <c r="A20" s="38" t="s">
        <v>79</v>
      </c>
      <c r="B20" s="22">
        <v>4</v>
      </c>
      <c r="C20" s="1">
        <v>92.650289999999998</v>
      </c>
      <c r="D20" s="35">
        <v>85.721590000000006</v>
      </c>
      <c r="E20">
        <v>81.914029999999997</v>
      </c>
      <c r="F20">
        <v>59.037140000000001</v>
      </c>
      <c r="G20">
        <v>87.05444</v>
      </c>
      <c r="H20">
        <v>179.25899000000001</v>
      </c>
      <c r="I20">
        <v>94.975729999999999</v>
      </c>
      <c r="J20">
        <v>93.46651</v>
      </c>
      <c r="K20">
        <v>98.791129999999995</v>
      </c>
      <c r="L20">
        <v>130.23557</v>
      </c>
      <c r="M20">
        <v>80.9345</v>
      </c>
      <c r="N20" s="1">
        <v>119.38683</v>
      </c>
      <c r="O20" s="33">
        <v>98.627870000000001</v>
      </c>
      <c r="P20">
        <v>2.5924200000000002</v>
      </c>
      <c r="Q20">
        <v>2.5133800000000002</v>
      </c>
      <c r="R20">
        <v>2.7110500000000002</v>
      </c>
      <c r="S20">
        <v>2.7342599999999999</v>
      </c>
      <c r="T20">
        <v>3.9487199999999998</v>
      </c>
      <c r="U20">
        <v>3.36002</v>
      </c>
      <c r="V20">
        <v>3.2768299999999999</v>
      </c>
      <c r="W20">
        <v>3.4697200000000001</v>
      </c>
      <c r="X20" s="33">
        <v>4.0925399999999996</v>
      </c>
      <c r="Y20">
        <v>-82.297520000000006</v>
      </c>
      <c r="Z20">
        <v>93.495840000000001</v>
      </c>
      <c r="AA20" s="2">
        <v>2.3743799999999999</v>
      </c>
      <c r="AB20" s="1">
        <v>2.31785</v>
      </c>
      <c r="AC20" s="1">
        <v>3.39398</v>
      </c>
      <c r="AD20" s="1">
        <v>1.5744199999999999</v>
      </c>
      <c r="AE20" s="1">
        <v>1.8752800000000001</v>
      </c>
      <c r="AF20" s="2">
        <v>2130.48</v>
      </c>
      <c r="AG20" s="1">
        <v>396.24520000000001</v>
      </c>
      <c r="AH20" s="2">
        <v>2050.91</v>
      </c>
      <c r="AI20" s="1">
        <v>1172.9857</v>
      </c>
      <c r="AJ20" s="2">
        <v>-0.13100000000000001</v>
      </c>
      <c r="AK20" s="1">
        <v>-0.89</v>
      </c>
      <c r="AL20" s="1">
        <v>-0.46899999999999997</v>
      </c>
      <c r="AM20" s="1">
        <v>-0.70199999999999996</v>
      </c>
      <c r="AN20" s="1">
        <v>0.27900000000000003</v>
      </c>
      <c r="AO20" s="1">
        <v>-0.06</v>
      </c>
      <c r="AP20" s="2">
        <v>-1.468</v>
      </c>
      <c r="AQ20" s="1">
        <v>1.284</v>
      </c>
      <c r="AR20" s="1">
        <v>1.3120000000000001</v>
      </c>
      <c r="AS20" s="1">
        <v>-0.432</v>
      </c>
      <c r="AT20" s="1">
        <v>-0.17899999999999999</v>
      </c>
      <c r="AU20" s="1">
        <v>0.17199999999999999</v>
      </c>
      <c r="AV20" s="2">
        <v>-0.44600000000000001</v>
      </c>
      <c r="AW20" s="1">
        <v>0.49099999999999999</v>
      </c>
      <c r="AX20" s="1">
        <v>0.47299999999999998</v>
      </c>
      <c r="AY20" s="1">
        <v>-0.40799999999999997</v>
      </c>
      <c r="AZ20" s="1">
        <v>2.8000000000000001E-2</v>
      </c>
      <c r="BA20" s="1">
        <v>-8.0000000000000002E-3</v>
      </c>
      <c r="BB20" s="2">
        <v>-4.3810000000000002E-2</v>
      </c>
      <c r="BC20" s="1">
        <v>-0.19594</v>
      </c>
      <c r="BD20" s="25">
        <f t="shared" si="1"/>
        <v>-0.15212999999999999</v>
      </c>
      <c r="BE20">
        <v>-2412.4775614</v>
      </c>
      <c r="BF20">
        <v>0.54060900000000001</v>
      </c>
      <c r="BG20">
        <f t="shared" si="0"/>
        <v>-2411.9369523999999</v>
      </c>
      <c r="BH20" s="17">
        <v>0.71152951657153674</v>
      </c>
      <c r="BI20" s="10">
        <v>0.96254759135886248</v>
      </c>
      <c r="BJ20" s="12"/>
      <c r="BL20" s="13"/>
    </row>
    <row r="21" spans="1:64" x14ac:dyDescent="0.3">
      <c r="A21" s="38" t="s">
        <v>80</v>
      </c>
      <c r="B21" s="22">
        <v>4</v>
      </c>
      <c r="C21" s="33">
        <v>91.252110000000002</v>
      </c>
      <c r="D21" s="2">
        <v>80.140810000000002</v>
      </c>
      <c r="E21" s="1">
        <v>87.165880000000001</v>
      </c>
      <c r="F21" s="1">
        <v>67.991410000000002</v>
      </c>
      <c r="G21" s="1">
        <v>85.094250000000002</v>
      </c>
      <c r="H21" s="1">
        <v>173.06072</v>
      </c>
      <c r="I21" s="1">
        <v>106.47298000000001</v>
      </c>
      <c r="J21" s="1">
        <v>103.05736</v>
      </c>
      <c r="K21" s="1">
        <v>99.352209999999999</v>
      </c>
      <c r="L21" s="1">
        <v>140.80498</v>
      </c>
      <c r="M21" s="1">
        <v>84.08023</v>
      </c>
      <c r="N21" s="1">
        <v>114.26987</v>
      </c>
      <c r="O21">
        <v>92.080709999999996</v>
      </c>
      <c r="P21" s="2">
        <v>2.4751300000000001</v>
      </c>
      <c r="Q21" s="1">
        <v>2.6262300000000001</v>
      </c>
      <c r="R21" s="1">
        <v>2.9302899999999998</v>
      </c>
      <c r="S21" s="1">
        <v>2.7232799999999999</v>
      </c>
      <c r="T21" s="1">
        <v>3.94482</v>
      </c>
      <c r="U21" s="1">
        <v>3.65354</v>
      </c>
      <c r="V21" s="1">
        <v>3.5606399999999998</v>
      </c>
      <c r="W21" s="1">
        <v>3.4641700000000002</v>
      </c>
      <c r="X21" s="32">
        <v>4.2663200000000003</v>
      </c>
      <c r="Y21" s="2">
        <v>-98.190799999999996</v>
      </c>
      <c r="Z21" s="32">
        <v>77.521079999999998</v>
      </c>
      <c r="AA21">
        <v>2.3668999999999998</v>
      </c>
      <c r="AB21">
        <v>2.3542700000000001</v>
      </c>
      <c r="AC21">
        <v>3.37466</v>
      </c>
      <c r="AD21">
        <v>1.5848800000000001</v>
      </c>
      <c r="AE21" s="33">
        <v>1.8733500000000001</v>
      </c>
      <c r="AF21">
        <v>2056.23</v>
      </c>
      <c r="AG21" s="33">
        <v>433.17950000000002</v>
      </c>
      <c r="AH21">
        <v>2052.58</v>
      </c>
      <c r="AI21" s="33">
        <v>951.59389999999996</v>
      </c>
      <c r="AJ21">
        <v>0.34</v>
      </c>
      <c r="AK21">
        <v>-0.215</v>
      </c>
      <c r="AL21">
        <v>-0.74399999999999999</v>
      </c>
      <c r="AM21">
        <v>-0.56200000000000006</v>
      </c>
      <c r="AN21">
        <v>0.27600000000000002</v>
      </c>
      <c r="AO21" s="33">
        <v>-0.15</v>
      </c>
      <c r="AP21">
        <v>-1.4410000000000001</v>
      </c>
      <c r="AQ21">
        <v>1.288</v>
      </c>
      <c r="AR21">
        <v>1.29</v>
      </c>
      <c r="AS21">
        <v>-0.44600000000000001</v>
      </c>
      <c r="AT21">
        <v>-0.186</v>
      </c>
      <c r="AU21" s="33">
        <v>0.17299999999999999</v>
      </c>
      <c r="AV21">
        <v>-0.45300000000000001</v>
      </c>
      <c r="AW21">
        <v>0.39900000000000002</v>
      </c>
      <c r="AX21">
        <v>0.46300000000000002</v>
      </c>
      <c r="AY21">
        <v>-0.434</v>
      </c>
      <c r="AZ21">
        <v>-2.5999999999999999E-2</v>
      </c>
      <c r="BA21" s="33">
        <v>8.9999999999999993E-3</v>
      </c>
      <c r="BB21">
        <v>-5.8369999999999998E-2</v>
      </c>
      <c r="BC21">
        <v>-0.20246</v>
      </c>
      <c r="BD21">
        <f t="shared" si="1"/>
        <v>-0.14409</v>
      </c>
      <c r="BE21">
        <v>-2719.5381388999999</v>
      </c>
      <c r="BF21">
        <v>0.62946199999999997</v>
      </c>
      <c r="BG21">
        <f t="shared" si="0"/>
        <v>-2718.9086769</v>
      </c>
      <c r="BH21" s="17">
        <v>0.7137803128252026</v>
      </c>
      <c r="BI21" s="10">
        <v>1.72236558300464</v>
      </c>
    </row>
    <row r="22" spans="1:64" x14ac:dyDescent="0.3">
      <c r="A22" s="38" t="s">
        <v>81</v>
      </c>
      <c r="B22" s="22">
        <v>4</v>
      </c>
      <c r="C22" s="1">
        <v>93.306749999999994</v>
      </c>
      <c r="D22" s="2">
        <v>82.073030000000003</v>
      </c>
      <c r="E22" s="1">
        <v>87.139120000000005</v>
      </c>
      <c r="F22" s="1">
        <v>66.875879999999995</v>
      </c>
      <c r="G22" s="1">
        <v>85.725369999999998</v>
      </c>
      <c r="H22" s="1">
        <v>177.37985</v>
      </c>
      <c r="I22" s="1">
        <v>100.50066</v>
      </c>
      <c r="J22" s="1">
        <v>100.09392</v>
      </c>
      <c r="K22" s="1">
        <v>95.18835</v>
      </c>
      <c r="L22" s="1">
        <v>138.31120999999999</v>
      </c>
      <c r="M22" s="1">
        <v>83.171350000000004</v>
      </c>
      <c r="N22" s="1">
        <v>111.94504999999999</v>
      </c>
      <c r="O22">
        <v>94.951040000000006</v>
      </c>
      <c r="P22" s="2">
        <v>2.5011299999999999</v>
      </c>
      <c r="Q22" s="1">
        <v>2.61673</v>
      </c>
      <c r="R22" s="1">
        <v>2.90679</v>
      </c>
      <c r="S22" s="1">
        <v>2.7201399999999998</v>
      </c>
      <c r="T22" s="1">
        <v>3.9528599999999998</v>
      </c>
      <c r="U22" s="1">
        <v>3.4910800000000002</v>
      </c>
      <c r="V22" s="1">
        <v>3.4511799999999999</v>
      </c>
      <c r="W22" s="1">
        <v>3.3511899999999999</v>
      </c>
      <c r="X22" s="32">
        <v>4.2031299999999998</v>
      </c>
      <c r="Y22" s="2">
        <v>-95.472840000000005</v>
      </c>
      <c r="Z22" s="32">
        <v>80.808530000000005</v>
      </c>
      <c r="AA22" s="1">
        <v>2.3706499999999999</v>
      </c>
      <c r="AB22" s="1">
        <v>2.3330799999999998</v>
      </c>
      <c r="AC22" s="1">
        <v>3.4207100000000001</v>
      </c>
      <c r="AD22" s="1">
        <v>1.58321</v>
      </c>
      <c r="AE22" s="1">
        <v>1.8754599999999999</v>
      </c>
      <c r="AF22" s="2">
        <v>2066.35</v>
      </c>
      <c r="AG22" s="1">
        <v>472.22309999999999</v>
      </c>
      <c r="AH22" s="2">
        <v>2050.65</v>
      </c>
      <c r="AI22" s="1">
        <v>982.75580000000002</v>
      </c>
      <c r="AJ22" s="2">
        <v>0.47699999999999998</v>
      </c>
      <c r="AK22" s="1">
        <v>-9.0999999999999998E-2</v>
      </c>
      <c r="AL22" s="1">
        <v>-0.50900000000000001</v>
      </c>
      <c r="AM22" s="1">
        <v>-0.63500000000000001</v>
      </c>
      <c r="AN22" s="1">
        <v>0.29099999999999998</v>
      </c>
      <c r="AO22" s="1">
        <v>-0.17</v>
      </c>
      <c r="AP22" s="2">
        <v>-1.446</v>
      </c>
      <c r="AQ22" s="1">
        <v>1.2949999999999999</v>
      </c>
      <c r="AR22" s="1">
        <v>1.3009999999999999</v>
      </c>
      <c r="AS22" s="1">
        <v>-0.45500000000000002</v>
      </c>
      <c r="AT22" s="1">
        <v>-0.19500000000000001</v>
      </c>
      <c r="AU22" s="1">
        <v>0.17699999999999999</v>
      </c>
      <c r="AV22" s="2">
        <v>-0.46100000000000002</v>
      </c>
      <c r="AW22" s="1">
        <v>0.438</v>
      </c>
      <c r="AX22" s="1">
        <v>0.437</v>
      </c>
      <c r="AY22" s="1">
        <v>-0.39200000000000002</v>
      </c>
      <c r="AZ22" s="1">
        <v>-9.6000000000000002E-2</v>
      </c>
      <c r="BA22" s="1">
        <v>7.0000000000000001E-3</v>
      </c>
      <c r="BB22" s="2">
        <v>-3.789E-2</v>
      </c>
      <c r="BC22" s="1">
        <v>-0.19683999999999999</v>
      </c>
      <c r="BD22" s="25">
        <f t="shared" si="1"/>
        <v>-0.15894999999999998</v>
      </c>
      <c r="BE22">
        <v>-2789.3294176999998</v>
      </c>
      <c r="BF22">
        <v>0.565612</v>
      </c>
      <c r="BG22">
        <f t="shared" si="0"/>
        <v>-2788.7638056999999</v>
      </c>
      <c r="BH22" s="17">
        <v>0.71430457885276399</v>
      </c>
      <c r="BI22" s="10">
        <v>1.0485936991218803</v>
      </c>
    </row>
    <row r="23" spans="1:64" x14ac:dyDescent="0.3">
      <c r="A23" s="38" t="s">
        <v>82</v>
      </c>
      <c r="B23" s="22">
        <v>6</v>
      </c>
      <c r="C23" s="1">
        <v>109.57922000000001</v>
      </c>
      <c r="D23" s="2">
        <v>81.862799999999993</v>
      </c>
      <c r="E23" s="1">
        <v>81.656790000000001</v>
      </c>
      <c r="F23" s="1">
        <v>60.092390000000002</v>
      </c>
      <c r="G23" s="1">
        <v>78.43723</v>
      </c>
      <c r="H23" s="1">
        <v>171.78880000000001</v>
      </c>
      <c r="I23" s="1">
        <v>99.215090000000004</v>
      </c>
      <c r="J23" s="1">
        <v>92.373090000000005</v>
      </c>
      <c r="K23" s="1">
        <v>94.282979999999995</v>
      </c>
      <c r="L23" s="1">
        <v>127.79897</v>
      </c>
      <c r="M23" s="1">
        <v>82.454740000000001</v>
      </c>
      <c r="N23" s="1">
        <v>113.23949</v>
      </c>
      <c r="O23">
        <v>92.457239999999999</v>
      </c>
      <c r="P23" s="2">
        <v>2.5249199999999998</v>
      </c>
      <c r="Q23" s="1">
        <v>2.5342500000000001</v>
      </c>
      <c r="R23" s="1">
        <v>2.7400899999999999</v>
      </c>
      <c r="S23" s="1">
        <v>2.4699599999999999</v>
      </c>
      <c r="T23" s="1">
        <v>3.8650000000000002</v>
      </c>
      <c r="U23" s="1">
        <v>3.4235500000000001</v>
      </c>
      <c r="V23" s="1">
        <v>3.2059799999999998</v>
      </c>
      <c r="W23" s="1">
        <v>3.3082600000000002</v>
      </c>
      <c r="X23" s="32">
        <v>4.00603</v>
      </c>
      <c r="Y23" s="2">
        <v>-86.918779999999998</v>
      </c>
      <c r="Z23" s="32">
        <v>87.534670000000006</v>
      </c>
      <c r="AA23" s="1">
        <v>2.29101</v>
      </c>
      <c r="AB23" s="1">
        <v>2.2393100000000001</v>
      </c>
      <c r="AC23" s="1">
        <v>3.7015699999999998</v>
      </c>
      <c r="AD23" s="1">
        <v>1.58361</v>
      </c>
      <c r="AE23" s="1">
        <v>1.8908499999999999</v>
      </c>
      <c r="AF23" s="2">
        <v>2104.3000000000002</v>
      </c>
      <c r="AG23" s="1">
        <v>211.1781</v>
      </c>
      <c r="AH23" s="2">
        <v>2092.52</v>
      </c>
      <c r="AI23" s="1">
        <v>760.41290000000004</v>
      </c>
      <c r="AJ23" s="2">
        <v>-1.1040000000000001</v>
      </c>
      <c r="AK23" s="1">
        <v>0.74299999999999999</v>
      </c>
      <c r="AL23" s="1">
        <v>0.77500000000000002</v>
      </c>
      <c r="AM23" s="1">
        <v>-0.55000000000000004</v>
      </c>
      <c r="AN23" s="1">
        <v>0.42</v>
      </c>
      <c r="AO23" s="1">
        <v>0.107</v>
      </c>
      <c r="AP23" s="2">
        <v>-1.7170000000000001</v>
      </c>
      <c r="AQ23" s="1">
        <v>2.1110000000000002</v>
      </c>
      <c r="AR23" s="1">
        <v>2.12</v>
      </c>
      <c r="AS23" s="1">
        <v>-0.40100000000000002</v>
      </c>
      <c r="AT23" s="1">
        <v>-0.182</v>
      </c>
      <c r="AU23" s="1">
        <v>0.20899999999999999</v>
      </c>
      <c r="AV23" s="2">
        <v>-0.503</v>
      </c>
      <c r="AW23" s="1">
        <v>0.70899999999999996</v>
      </c>
      <c r="AX23" s="1">
        <v>0.76300000000000001</v>
      </c>
      <c r="AY23" s="1">
        <v>-0.24299999999999999</v>
      </c>
      <c r="AZ23" s="1">
        <v>-9.6000000000000002E-2</v>
      </c>
      <c r="BA23" s="1">
        <v>7.8E-2</v>
      </c>
      <c r="BB23" s="2">
        <v>-3.5639999999999998E-2</v>
      </c>
      <c r="BC23" s="1">
        <v>-0.21154000000000001</v>
      </c>
      <c r="BD23" s="25">
        <f t="shared" si="1"/>
        <v>-0.1759</v>
      </c>
      <c r="BE23">
        <v>-3404.4559712</v>
      </c>
      <c r="BF23">
        <v>0.78946300000000003</v>
      </c>
      <c r="BG23">
        <f t="shared" si="0"/>
        <v>-3403.6665082</v>
      </c>
      <c r="BH23" s="17">
        <v>0.79539631358203777</v>
      </c>
      <c r="BI23" s="10">
        <v>30.213195672028469</v>
      </c>
    </row>
    <row r="24" spans="1:64" x14ac:dyDescent="0.3">
      <c r="A24" s="38" t="s">
        <v>83</v>
      </c>
      <c r="B24" s="22">
        <v>6</v>
      </c>
      <c r="C24" s="1">
        <v>108.34864</v>
      </c>
      <c r="D24" s="2">
        <v>82.329409999999996</v>
      </c>
      <c r="E24" s="1">
        <v>84.008529999999993</v>
      </c>
      <c r="F24" s="1">
        <v>62.899659999999997</v>
      </c>
      <c r="G24" s="1">
        <v>78.991839999999996</v>
      </c>
      <c r="H24" s="1">
        <v>171.71673999999999</v>
      </c>
      <c r="I24" s="1">
        <v>100.78125</v>
      </c>
      <c r="J24" s="1">
        <v>92.911680000000004</v>
      </c>
      <c r="K24" s="1">
        <v>93.854889999999997</v>
      </c>
      <c r="L24" s="1">
        <v>129.03222</v>
      </c>
      <c r="M24" s="1">
        <v>82.013159999999999</v>
      </c>
      <c r="N24" s="1">
        <v>114.251</v>
      </c>
      <c r="O24">
        <v>91.275270000000006</v>
      </c>
      <c r="P24" s="2">
        <v>2.53966</v>
      </c>
      <c r="Q24" s="1">
        <v>2.5890900000000001</v>
      </c>
      <c r="R24" s="1">
        <v>2.81446</v>
      </c>
      <c r="S24" s="1">
        <v>2.48516</v>
      </c>
      <c r="T24" s="1">
        <v>3.8653200000000001</v>
      </c>
      <c r="U24" s="1">
        <v>3.46347</v>
      </c>
      <c r="V24" s="1">
        <v>3.2227899999999998</v>
      </c>
      <c r="W24" s="1">
        <v>3.2928799999999998</v>
      </c>
      <c r="X24" s="32">
        <v>4.0244900000000001</v>
      </c>
      <c r="Y24" s="2">
        <v>-90.215119999999999</v>
      </c>
      <c r="Z24" s="32">
        <v>85.196839999999995</v>
      </c>
      <c r="AA24" s="1">
        <v>2.2888000000000002</v>
      </c>
      <c r="AB24" s="1">
        <v>2.2397499999999999</v>
      </c>
      <c r="AC24" s="1">
        <v>3.6718700000000002</v>
      </c>
      <c r="AD24" s="1">
        <v>1.5863100000000001</v>
      </c>
      <c r="AE24" s="1">
        <v>1.893</v>
      </c>
      <c r="AF24" s="2">
        <v>2098.52</v>
      </c>
      <c r="AG24" s="1">
        <v>741.87729999999999</v>
      </c>
      <c r="AH24" s="2">
        <v>2086.8200000000002</v>
      </c>
      <c r="AI24" s="32">
        <v>277.58319999999998</v>
      </c>
      <c r="AJ24" s="2">
        <v>-0.89600000000000002</v>
      </c>
      <c r="AK24" s="1">
        <v>0.998</v>
      </c>
      <c r="AL24" s="1">
        <v>0.67</v>
      </c>
      <c r="AM24" s="1">
        <v>-0.61199999999999999</v>
      </c>
      <c r="AN24" s="1">
        <v>0.36</v>
      </c>
      <c r="AO24" s="32">
        <v>6.8000000000000005E-2</v>
      </c>
      <c r="AP24" s="2">
        <v>-1.7230000000000001</v>
      </c>
      <c r="AQ24" s="1">
        <v>2.0960000000000001</v>
      </c>
      <c r="AR24" s="1">
        <v>2.1059999999999999</v>
      </c>
      <c r="AS24" s="1">
        <v>-0.40200000000000002</v>
      </c>
      <c r="AT24" s="1">
        <v>-0.17899999999999999</v>
      </c>
      <c r="AU24" s="33">
        <v>0.20899999999999999</v>
      </c>
      <c r="AV24" s="2">
        <v>-0.50600000000000001</v>
      </c>
      <c r="AW24" s="1">
        <v>0.66300000000000003</v>
      </c>
      <c r="AX24" s="1">
        <v>0.747</v>
      </c>
      <c r="AY24" s="1">
        <v>-0.253</v>
      </c>
      <c r="AZ24" s="1">
        <v>-0.106</v>
      </c>
      <c r="BA24" s="33">
        <v>5.8999999999999997E-2</v>
      </c>
      <c r="BB24" s="2">
        <v>-3.7350000000000001E-2</v>
      </c>
      <c r="BC24" s="1">
        <v>-0.21612999999999999</v>
      </c>
      <c r="BD24" s="25">
        <f t="shared" si="1"/>
        <v>-0.17877999999999999</v>
      </c>
      <c r="BE24">
        <v>-2861.3088459000001</v>
      </c>
      <c r="BF24">
        <v>0.52000900000000005</v>
      </c>
      <c r="BG24">
        <f t="shared" si="0"/>
        <v>-2860.7888369000002</v>
      </c>
      <c r="BH24" s="17">
        <v>0.72365858850241238</v>
      </c>
      <c r="BI24" s="10">
        <v>3.9143418421620444</v>
      </c>
    </row>
    <row r="25" spans="1:64" x14ac:dyDescent="0.3">
      <c r="A25" s="38" t="s">
        <v>84</v>
      </c>
      <c r="B25" s="22">
        <v>6</v>
      </c>
      <c r="C25" s="1">
        <v>107.90356</v>
      </c>
      <c r="D25" s="2">
        <v>81.985439999999997</v>
      </c>
      <c r="E25" s="1">
        <v>83.899720000000002</v>
      </c>
      <c r="F25" s="1">
        <v>62.91619</v>
      </c>
      <c r="G25" s="1">
        <v>78.924639999999997</v>
      </c>
      <c r="H25" s="1">
        <v>172.49136999999999</v>
      </c>
      <c r="I25" s="1">
        <v>100.49965</v>
      </c>
      <c r="J25" s="1">
        <v>92.670919999999995</v>
      </c>
      <c r="K25" s="1">
        <v>93.827529999999996</v>
      </c>
      <c r="L25" s="1">
        <v>128.76289</v>
      </c>
      <c r="M25" s="1">
        <v>82.13655</v>
      </c>
      <c r="N25" s="1">
        <v>114.52593</v>
      </c>
      <c r="O25">
        <v>91.990809999999996</v>
      </c>
      <c r="P25" s="2">
        <v>2.5335700000000001</v>
      </c>
      <c r="Q25" s="1">
        <v>2.5894400000000002</v>
      </c>
      <c r="R25" s="1">
        <v>2.8160099999999999</v>
      </c>
      <c r="S25" s="1">
        <v>2.4792399999999999</v>
      </c>
      <c r="T25" s="1">
        <v>3.8645100000000001</v>
      </c>
      <c r="U25" s="1">
        <v>3.4547300000000001</v>
      </c>
      <c r="V25" s="1">
        <v>3.21305</v>
      </c>
      <c r="W25" s="1">
        <v>3.2912300000000001</v>
      </c>
      <c r="X25" s="32">
        <v>4.0167799999999998</v>
      </c>
      <c r="Y25" s="2">
        <v>-90.500829999999993</v>
      </c>
      <c r="Z25" s="32">
        <v>84.768119999999996</v>
      </c>
      <c r="AA25" s="1">
        <v>2.2848600000000001</v>
      </c>
      <c r="AB25" s="1">
        <v>2.2334399999999999</v>
      </c>
      <c r="AC25" s="1">
        <v>3.65327</v>
      </c>
      <c r="AD25" s="1">
        <v>1.58769</v>
      </c>
      <c r="AE25" s="1">
        <v>1.8946099999999999</v>
      </c>
      <c r="AF25" s="2">
        <v>2101.79</v>
      </c>
      <c r="AG25" s="1">
        <v>796.35720000000003</v>
      </c>
      <c r="AH25" s="2">
        <v>2076.9499999999998</v>
      </c>
      <c r="AI25" s="1">
        <v>264.58519999999999</v>
      </c>
      <c r="AJ25" s="2">
        <v>-0.75800000000000001</v>
      </c>
      <c r="AK25" s="1">
        <v>0.95099999999999996</v>
      </c>
      <c r="AL25" s="1">
        <v>0.438</v>
      </c>
      <c r="AM25" s="1">
        <v>-0.60399999999999998</v>
      </c>
      <c r="AN25" s="1">
        <v>0.39300000000000002</v>
      </c>
      <c r="AO25" s="1">
        <v>7.2999999999999995E-2</v>
      </c>
      <c r="AP25" s="2">
        <v>-1.728</v>
      </c>
      <c r="AQ25" s="1">
        <v>2.1</v>
      </c>
      <c r="AR25" s="1">
        <v>2.1070000000000002</v>
      </c>
      <c r="AS25" s="1">
        <v>-0.39800000000000002</v>
      </c>
      <c r="AT25" s="1">
        <v>-0.17899999999999999</v>
      </c>
      <c r="AU25" s="1">
        <v>0.20699999999999999</v>
      </c>
      <c r="AV25" s="36">
        <v>-0.54800000000000004</v>
      </c>
      <c r="AW25" s="1">
        <v>0.69499999999999995</v>
      </c>
      <c r="AX25" s="1">
        <v>0.752</v>
      </c>
      <c r="AY25" s="1">
        <v>-0.25800000000000001</v>
      </c>
      <c r="AZ25" s="1">
        <v>-9.6000000000000002E-2</v>
      </c>
      <c r="BA25" s="1">
        <v>6.3E-2</v>
      </c>
      <c r="BB25" s="2">
        <v>-5.6779999999999997E-2</v>
      </c>
      <c r="BC25" s="1">
        <v>-0.21415999999999999</v>
      </c>
      <c r="BD25" s="25">
        <f t="shared" si="1"/>
        <v>-0.15737999999999999</v>
      </c>
      <c r="BE25">
        <v>-3782.4723806000002</v>
      </c>
      <c r="BF25">
        <v>0.77912199999999998</v>
      </c>
      <c r="BG25">
        <f t="shared" si="0"/>
        <v>-3781.6932586000003</v>
      </c>
      <c r="BH25" s="17">
        <v>0.72773446122796503</v>
      </c>
      <c r="BI25" s="10">
        <v>7.8733664847113127</v>
      </c>
    </row>
    <row r="26" spans="1:64" x14ac:dyDescent="0.3">
      <c r="B26" s="22"/>
      <c r="C26" s="4"/>
      <c r="D26" s="18"/>
      <c r="E26" s="18"/>
      <c r="F26" s="18"/>
      <c r="G26" s="19"/>
      <c r="H26" s="19"/>
      <c r="I26" s="20"/>
      <c r="J26" s="20"/>
      <c r="BD26" s="7"/>
      <c r="BF26" s="23"/>
      <c r="BH26" s="9"/>
    </row>
    <row r="27" spans="1:64" x14ac:dyDescent="0.3">
      <c r="A27" s="3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4"/>
      <c r="AG27" s="15"/>
      <c r="AH27" s="14"/>
      <c r="AI27" s="15"/>
      <c r="AJ27" s="14"/>
      <c r="AK27" s="15"/>
      <c r="AL27" s="15"/>
      <c r="AM27" s="15"/>
      <c r="AN27" s="15"/>
      <c r="AO27" s="15"/>
      <c r="AP27" s="14"/>
      <c r="AQ27" s="1"/>
      <c r="AR27" s="1"/>
      <c r="AS27" s="1"/>
      <c r="AT27" s="1"/>
      <c r="AU27" s="1"/>
      <c r="AV27" s="16"/>
      <c r="AW27" s="1"/>
      <c r="AX27" s="1"/>
      <c r="AY27" s="1"/>
      <c r="AZ27" s="1"/>
      <c r="BA27" s="1"/>
      <c r="BB27" s="14"/>
      <c r="BC27" s="1"/>
      <c r="BD27" s="1"/>
      <c r="BE27" s="1"/>
      <c r="BF27" s="1"/>
      <c r="BH27" s="1"/>
    </row>
    <row r="28" spans="1:64" x14ac:dyDescent="0.3">
      <c r="A28" s="21"/>
      <c r="B28" s="21"/>
      <c r="C28" s="4"/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39"/>
      <c r="Q28" s="40"/>
      <c r="R28" s="40"/>
      <c r="S28" s="40"/>
      <c r="T28" s="40"/>
      <c r="U28" s="40"/>
      <c r="V28" s="40"/>
      <c r="W28" s="40"/>
      <c r="X28" s="41"/>
      <c r="Y28" s="39"/>
      <c r="Z28" s="41"/>
      <c r="AA28" s="4"/>
      <c r="AB28" s="4"/>
      <c r="AC28" s="4"/>
      <c r="AD28" s="4"/>
      <c r="AE28" s="4"/>
      <c r="AF28" s="6"/>
      <c r="AG28" s="7"/>
      <c r="AH28" s="6"/>
      <c r="AI28" s="7"/>
      <c r="AJ28" s="5"/>
      <c r="AK28" s="4"/>
      <c r="AL28" s="4"/>
      <c r="AM28" s="4"/>
      <c r="AN28" s="4"/>
      <c r="AO28" s="4"/>
      <c r="AP28" s="5"/>
      <c r="AQ28" s="4"/>
      <c r="AR28" s="4"/>
      <c r="AS28" s="4"/>
      <c r="AT28" s="4"/>
      <c r="AU28" s="4"/>
      <c r="AV28" s="5"/>
      <c r="AW28" s="4"/>
      <c r="AX28" s="4"/>
      <c r="AY28" s="4"/>
      <c r="AZ28" s="4"/>
      <c r="BA28" s="4"/>
      <c r="BB28" s="5"/>
      <c r="BC28" s="4"/>
      <c r="BD28" s="4"/>
      <c r="BE28" s="1"/>
      <c r="BF28" s="1"/>
      <c r="BH28" s="1"/>
    </row>
    <row r="29" spans="1:64" x14ac:dyDescent="0.3">
      <c r="X29" s="1"/>
      <c r="Y29" s="1"/>
      <c r="Z29" s="1"/>
      <c r="AA29" s="1"/>
      <c r="AB29" s="1"/>
    </row>
    <row r="30" spans="1:64" x14ac:dyDescent="0.3">
      <c r="X30" s="1"/>
      <c r="Y30" s="1"/>
      <c r="Z30" s="1"/>
      <c r="AA30" s="1"/>
      <c r="AB30" s="1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 泓锟</dc:creator>
  <cp:lastModifiedBy>mengyao liang</cp:lastModifiedBy>
  <dcterms:created xsi:type="dcterms:W3CDTF">2024-09-09T04:29:35Z</dcterms:created>
  <dcterms:modified xsi:type="dcterms:W3CDTF">2026-09-27T08:53:05Z</dcterms:modified>
</cp:coreProperties>
</file>