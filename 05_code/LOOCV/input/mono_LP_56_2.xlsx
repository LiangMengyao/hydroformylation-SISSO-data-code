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SIO\小论文\修订\投稿最终整理_0830\上传文件\hydroformylation_SISSO_data_and_code\05_code\LOOCV\input\"/>
    </mc:Choice>
  </mc:AlternateContent>
  <xr:revisionPtr revIDLastSave="0" documentId="13_ncr:1_{52C3D0B2-03DD-4F28-957A-45CFB740C124}" xr6:coauthVersionLast="47" xr6:coauthVersionMax="47" xr10:uidLastSave="{00000000-0000-0000-0000-000000000000}"/>
  <bookViews>
    <workbookView xWindow="-110" yWindow="-110" windowWidth="19420" windowHeight="11020" xr2:uid="{2268EF25-82CF-40A2-A508-5AC4C5F89AC3}"/>
  </bookViews>
  <sheets>
    <sheet name="mono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3" i="4" l="1"/>
  <c r="BD22" i="4"/>
  <c r="BD21" i="4"/>
  <c r="BD20" i="4"/>
  <c r="BD19" i="4"/>
  <c r="BD18" i="4"/>
  <c r="BD17" i="4"/>
  <c r="BD16" i="4"/>
  <c r="BD15" i="4"/>
  <c r="BD14" i="4"/>
  <c r="BD13" i="4"/>
  <c r="BD12" i="4"/>
  <c r="BD11" i="4"/>
  <c r="BD10" i="4"/>
  <c r="BD9" i="4"/>
  <c r="BD8" i="4"/>
  <c r="BD7" i="4"/>
  <c r="BD6" i="4"/>
  <c r="AS6" i="4"/>
  <c r="BD5" i="4"/>
  <c r="BD4" i="4"/>
  <c r="BD3" i="4"/>
  <c r="B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hong1kun</author>
  </authors>
  <commentList>
    <comment ref="A1" authorId="0" shapeId="0" xr:uid="{13D8E8A8-C282-4560-A611-154FDE008540}">
      <text>
        <r>
          <rPr>
            <b/>
            <sz val="9"/>
            <color indexed="81"/>
            <rFont val="宋体"/>
            <family val="3"/>
            <charset val="134"/>
          </rPr>
          <t>hong1kun:</t>
        </r>
        <r>
          <rPr>
            <sz val="9"/>
            <color indexed="81"/>
            <rFont val="宋体"/>
            <family val="3"/>
            <charset val="134"/>
          </rPr>
          <t xml:space="preserve">
总共33个描述符</t>
        </r>
      </text>
    </comment>
    <comment ref="B1" authorId="0" shapeId="0" xr:uid="{124243F6-2A0D-41A6-8006-1F7E0948D8C2}">
      <text>
        <r>
          <rPr>
            <b/>
            <sz val="9"/>
            <color indexed="81"/>
            <rFont val="宋体"/>
            <family val="3"/>
            <charset val="134"/>
          </rPr>
          <t>hong1kun:</t>
        </r>
        <r>
          <rPr>
            <sz val="9"/>
            <color indexed="81"/>
            <rFont val="宋体"/>
            <family val="3"/>
            <charset val="134"/>
          </rPr>
          <t xml:space="preserve">
总共33个描述符</t>
        </r>
      </text>
    </comment>
  </commentList>
</comments>
</file>

<file path=xl/sharedStrings.xml><?xml version="1.0" encoding="utf-8"?>
<sst xmlns="http://schemas.openxmlformats.org/spreadsheetml/2006/main" count="107" uniqueCount="107">
  <si>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P-Rh-R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</si>
  <si>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P(a)-Rh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</si>
  <si>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P(e)-Rh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</si>
  <si>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P-P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</si>
  <si>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H-Rh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</si>
  <si>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Rh-CO</t>
    </r>
    <phoneticPr fontId="7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</si>
  <si>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H</t>
    </r>
    <phoneticPr fontId="7" type="noConversion"/>
  </si>
  <si>
    <r>
      <t>峰高_v</t>
    </r>
    <r>
      <rPr>
        <sz val="8"/>
        <color theme="1"/>
        <rFont val="等线"/>
        <family val="3"/>
        <charset val="134"/>
        <scheme val="minor"/>
      </rPr>
      <t>H</t>
    </r>
    <phoneticPr fontId="7" type="noConversion"/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</si>
  <si>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CO</t>
    </r>
    <phoneticPr fontId="7" type="noConversion"/>
  </si>
  <si>
    <t>峰高_vco</t>
    <phoneticPr fontId="7" type="noConversion"/>
  </si>
  <si>
    <t>ESP(Rh)</t>
    <phoneticPr fontId="7" type="noConversion"/>
  </si>
  <si>
    <t>ESP(Pa)</t>
    <phoneticPr fontId="7" type="noConversion"/>
  </si>
  <si>
    <t>ESP(Pe)</t>
    <phoneticPr fontId="7" type="noConversion"/>
  </si>
  <si>
    <t>ESP(Cα)</t>
    <phoneticPr fontId="7" type="noConversion"/>
  </si>
  <si>
    <t>ESP(Cβ)</t>
    <phoneticPr fontId="7" type="noConversion"/>
  </si>
  <si>
    <t>ESP(H)</t>
    <phoneticPr fontId="7" type="noConversion"/>
  </si>
  <si>
    <t>NPA(Rh)</t>
    <phoneticPr fontId="7" type="noConversion"/>
  </si>
  <si>
    <t>NPA(Pa)</t>
    <phoneticPr fontId="7" type="noConversion"/>
  </si>
  <si>
    <t>NPA(Pe)</t>
    <phoneticPr fontId="7" type="noConversion"/>
  </si>
  <si>
    <t>NPA(Cα)</t>
    <phoneticPr fontId="7" type="noConversion"/>
  </si>
  <si>
    <t>NPA(Cβ)</t>
    <phoneticPr fontId="7" type="noConversion"/>
  </si>
  <si>
    <t>NPA(H)</t>
    <phoneticPr fontId="7" type="noConversion"/>
  </si>
  <si>
    <t>Q(Rh)</t>
    <phoneticPr fontId="7" type="noConversion"/>
  </si>
  <si>
    <t>Q(Pa)</t>
    <phoneticPr fontId="7" type="noConversion"/>
  </si>
  <si>
    <t>Q(Pe)</t>
    <phoneticPr fontId="7" type="noConversion"/>
  </si>
  <si>
    <t>Q(Cα)</t>
    <phoneticPr fontId="7" type="noConversion"/>
  </si>
  <si>
    <t>Q(Cβ)</t>
    <phoneticPr fontId="7" type="noConversion"/>
  </si>
  <si>
    <t>Q(H)</t>
    <phoneticPr fontId="7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</si>
  <si>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LUMO</t>
    </r>
    <phoneticPr fontId="7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</si>
  <si>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HOMO</t>
    </r>
    <phoneticPr fontId="7" type="noConversion"/>
  </si>
  <si>
    <r>
      <t>E</t>
    </r>
    <r>
      <rPr>
        <vertAlign val="subscript"/>
        <sz val="11"/>
        <color theme="1"/>
        <rFont val="等线"/>
        <family val="3"/>
        <charset val="134"/>
        <scheme val="minor"/>
      </rPr>
      <t>(HO-LU)</t>
    </r>
    <phoneticPr fontId="7" type="noConversion"/>
  </si>
  <si>
    <t>Vbur</t>
    <phoneticPr fontId="4" type="noConversion"/>
  </si>
  <si>
    <t>锥角(°)</t>
    <phoneticPr fontId="4" type="noConversion"/>
  </si>
  <si>
    <t>L1_3(ea)</t>
  </si>
  <si>
    <t>L7_P(4-OMePh)3</t>
    <phoneticPr fontId="7" type="noConversion"/>
  </si>
  <si>
    <t>L8_P(3-OMePh)3</t>
    <phoneticPr fontId="7" type="noConversion"/>
  </si>
  <si>
    <t>L10_P(4-CHOPh)Ph2</t>
    <phoneticPr fontId="7" type="noConversion"/>
  </si>
  <si>
    <t>L12_P(4-COOHPh)Ph2</t>
  </si>
  <si>
    <t>L13_P(3-COOHPh)Ph2</t>
  </si>
  <si>
    <t>L15_P(4-BrPh)Ph2</t>
  </si>
  <si>
    <t>L17_P(4-BrPh)3</t>
    <phoneticPr fontId="7" type="noConversion"/>
  </si>
  <si>
    <t>L18_P(4-FPh)3</t>
    <phoneticPr fontId="7" type="noConversion"/>
  </si>
  <si>
    <t>L19_P(4-CF3Ph)3</t>
  </si>
  <si>
    <t>L20_2P_P(3,5-CF3Ph)3</t>
    <phoneticPr fontId="7" type="noConversion"/>
  </si>
  <si>
    <t>L21_PPh2Cy</t>
    <phoneticPr fontId="7" type="noConversion"/>
  </si>
  <si>
    <t>L22_PPhCy2</t>
  </si>
  <si>
    <t>正异构比</t>
    <phoneticPr fontId="4" type="noConversion"/>
  </si>
  <si>
    <t>L9_P(2-OMePh)Ph2</t>
    <phoneticPr fontId="7" type="noConversion"/>
  </si>
  <si>
    <t>L11_P(2-CHOPh)Ph2</t>
    <phoneticPr fontId="7" type="noConversion"/>
  </si>
  <si>
    <t>L14_P(2-COOHPh)Ph2</t>
    <phoneticPr fontId="7" type="noConversion"/>
  </si>
  <si>
    <t>L16_P(2-BrPh)Ph2</t>
  </si>
  <si>
    <t>L23_P(3,5-MePh)3</t>
    <phoneticPr fontId="4" type="noConversion"/>
  </si>
  <si>
    <t>L24_3ea_P(4-ClPh)3</t>
    <phoneticPr fontId="4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</si>
  <si>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H-Rh-Cα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</si>
  <si>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H-Rh-Cβ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</si>
  <si>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H-Rh-Cγ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</si>
  <si>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H-Rh-Pe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</si>
  <si>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H-Rh-Pa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</si>
  <si>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Cα-Rh-Pa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</si>
  <si>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Cα-Rh-Pe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</si>
  <si>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Cβ-Rh-Pa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</si>
  <si>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Cβ-Rh-Pe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</si>
  <si>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H-Cα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</si>
  <si>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H-Cβ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</si>
  <si>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H-Cγ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</si>
  <si>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H-Pe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</si>
  <si>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H-Pa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</si>
  <si>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Cα-Pa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</si>
  <si>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Cα-Pe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</si>
  <si>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Cβ-Pa</t>
    </r>
    <phoneticPr fontId="7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</si>
  <si>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Cβ-Pe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</si>
  <si>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H-Rh-Cα-Cβ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</si>
  <si>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H-Rh-Cβ-Cα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</si>
  <si>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H-Rh-CO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</si>
  <si>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Pe-Rh-CO</t>
    </r>
    <phoneticPr fontId="7" type="noConversion"/>
  </si>
  <si>
    <r>
      <t>θ</t>
    </r>
    <r>
      <rPr>
        <vertAlign val="subscript"/>
        <sz val="11"/>
        <color theme="1"/>
        <rFont val="等线"/>
        <family val="3"/>
        <charset val="134"/>
        <scheme val="minor"/>
      </rPr>
      <t>Pα-Rh-CO</t>
    </r>
    <phoneticPr fontId="7" type="noConversion"/>
  </si>
  <si>
    <t>L2_P(4-MePh)3</t>
    <phoneticPr fontId="7" type="noConversion"/>
  </si>
  <si>
    <t>L3_P(3-MePh)3</t>
    <phoneticPr fontId="7" type="noConversion"/>
  </si>
  <si>
    <t>L4_P(2-MePh)3</t>
    <phoneticPr fontId="4" type="noConversion"/>
  </si>
  <si>
    <t>L5_P(4-MePh)Ph2</t>
    <phoneticPr fontId="7" type="noConversion"/>
  </si>
  <si>
    <t>L6_P(2-MePh)Ph2</t>
    <phoneticPr fontId="4" type="noConversion"/>
  </si>
  <si>
    <t>LP1</t>
    <phoneticPr fontId="4" type="noConversion"/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</si>
  <si>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</si>
  <si>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</si>
  <si>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</si>
  <si>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</si>
  <si>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</si>
  <si>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</si>
  <si>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</si>
  <si>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</si>
  <si>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</si>
  <si>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</si>
  <si>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</si>
  <si>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</si>
  <si>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</si>
  <si>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</si>
  <si>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</si>
  <si>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</si>
  <si>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</si>
  <si>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</si>
  <si>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</si>
  <si>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</si>
  <si>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</si>
  <si>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</si>
  <si>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</si>
  <si>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ID</t>
    <phoneticPr fontId="7" type="noConversion"/>
  </si>
  <si>
    <t>name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</si>
</sst>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_ "/>
    <numFmt numFmtId="178" formatCode="0_ 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5" fillId="0" borderId="0" xfId="2"/>
    <xf numFmtId="0" fontId="5" fillId="0" borderId="1" xfId="2" applyBorder="1"/>
    <xf numFmtId="0" fontId="6" fillId="0" borderId="0" xfId="2" applyFont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5" fillId="0" borderId="1" xfId="2" applyBorder="1" applyAlignment="1">
      <alignment horizontal="center"/>
    </xf>
    <xf numFmtId="0" fontId="5" fillId="0" borderId="0" xfId="2" applyAlignment="1">
      <alignment horizontal="center"/>
    </xf>
    <xf numFmtId="0" fontId="11" fillId="2" borderId="1" xfId="2" applyFont="1" applyFill="1" applyBorder="1" applyAlignment="1">
      <alignment horizontal="center" vertical="center"/>
    </xf>
    <xf numFmtId="176" fontId="5" fillId="0" borderId="0" xfId="2" applyNumberFormat="1" applyAlignment="1">
      <alignment horizontal="center"/>
    </xf>
    <xf numFmtId="10" fontId="5" fillId="0" borderId="1" xfId="1" applyNumberFormat="1" applyFont="1" applyBorder="1" applyAlignment="1">
      <alignment horizontal="center"/>
    </xf>
    <xf numFmtId="177" fontId="5" fillId="0" borderId="0" xfId="2" applyNumberFormat="1" applyAlignment="1">
      <alignment horizontal="center"/>
    </xf>
    <xf numFmtId="2" fontId="12" fillId="2" borderId="1" xfId="2" applyNumberFormat="1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176" fontId="5" fillId="0" borderId="1" xfId="2" applyNumberForma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178" fontId="12" fillId="0" borderId="0" xfId="3" applyNumberFormat="1" applyFont="1" applyFill="1" applyAlignment="1">
      <alignment horizontal="center"/>
    </xf>
    <xf numFmtId="10" fontId="12" fillId="0" borderId="0" xfId="3" applyNumberFormat="1" applyFont="1" applyFill="1" applyAlignment="1">
      <alignment horizontal="center"/>
    </xf>
    <xf numFmtId="0" fontId="1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5" fillId="0" borderId="2" xfId="2" applyBorder="1"/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/>
  </cellXfs>
  <cellStyles count="4">
    <cellStyle name="百分比" xfId="1" builtinId="5"/>
    <cellStyle name="百分比 2" xfId="3" xr:uid="{A5F0059D-EE3F-4FB7-99A5-7D49B2131292}"/>
    <cellStyle name="常规" xfId="0" builtinId="0"/>
    <cellStyle name="常规 2" xfId="2" xr:uid="{C79BA677-9EBD-4714-9194-EB3BEF59B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681-684A-482B-87E5-9B9D038B921C}">
  <dimension ref="A1:BJ26"/>
  <sheetViews>
    <sheetView tabSelected="1" topLeftCell="AT1" zoomScaleNormal="100" workbookViewId="0">
      <selection activeCell="BG6" sqref="BG6"/>
    </sheetView>
  </sheetViews>
  <sheetFormatPr defaultRowHeight="14" x14ac:dyDescent="0.3"/>
  <cols>
    <col min="1" max="1" width="17.83203125" customWidth="1"/>
    <col min="2" max="2" width="4.83203125" customWidth="1"/>
    <col min="58" max="58" width="11.58203125" customWidth="1"/>
  </cols>
  <sheetData>
    <row r="1" spans="1:62" ht="16.5" customHeight="1" x14ac:dyDescent="0.4">
      <c r="A1" s="3" t="s">
        <v>106</v>
      </c>
      <c r="B1" s="3" t="s">
        <v>105</v>
      </c>
      <c r="C1" s="4" t="s">
        <v>0</v>
      </c>
      <c r="D1" s="21" t="s">
        <v>53</v>
      </c>
      <c r="E1" s="20" t="s">
        <v>54</v>
      </c>
      <c r="F1" s="20" t="s">
        <v>55</v>
      </c>
      <c r="G1" s="20" t="s">
        <v>56</v>
      </c>
      <c r="H1" s="20" t="s">
        <v>57</v>
      </c>
      <c r="I1" s="20" t="s">
        <v>58</v>
      </c>
      <c r="J1" s="20" t="s">
        <v>59</v>
      </c>
      <c r="K1" s="20" t="s">
        <v>60</v>
      </c>
      <c r="L1" s="20" t="s">
        <v>61</v>
      </c>
      <c r="M1" s="26" t="s">
        <v>73</v>
      </c>
      <c r="N1" s="26" t="s">
        <v>74</v>
      </c>
      <c r="O1" s="26" t="s">
        <v>75</v>
      </c>
      <c r="P1" s="21" t="s">
        <v>62</v>
      </c>
      <c r="Q1" s="20" t="s">
        <v>63</v>
      </c>
      <c r="R1" s="20" t="s">
        <v>64</v>
      </c>
      <c r="S1" s="20" t="s">
        <v>65</v>
      </c>
      <c r="T1" s="20" t="s">
        <v>66</v>
      </c>
      <c r="U1" s="20" t="s">
        <v>67</v>
      </c>
      <c r="V1" s="20" t="s">
        <v>68</v>
      </c>
      <c r="W1" s="20" t="s">
        <v>69</v>
      </c>
      <c r="X1" s="22" t="s">
        <v>70</v>
      </c>
      <c r="Y1" s="20" t="s">
        <v>71</v>
      </c>
      <c r="Z1" s="20" t="s">
        <v>72</v>
      </c>
      <c r="AA1" s="5" t="s">
        <v>1</v>
      </c>
      <c r="AB1" s="4" t="s">
        <v>2</v>
      </c>
      <c r="AC1" s="4" t="s">
        <v>3</v>
      </c>
      <c r="AD1" s="4" t="s">
        <v>4</v>
      </c>
      <c r="AE1" s="4" t="s">
        <v>5</v>
      </c>
      <c r="AF1" s="6" t="s">
        <v>6</v>
      </c>
      <c r="AG1" s="7" t="s">
        <v>7</v>
      </c>
      <c r="AH1" s="6" t="s">
        <v>8</v>
      </c>
      <c r="AI1" s="7" t="s">
        <v>9</v>
      </c>
      <c r="AJ1" s="5" t="s">
        <v>10</v>
      </c>
      <c r="AK1" s="4" t="s">
        <v>11</v>
      </c>
      <c r="AL1" s="4" t="s">
        <v>12</v>
      </c>
      <c r="AM1" s="4" t="s">
        <v>13</v>
      </c>
      <c r="AN1" s="4" t="s">
        <v>14</v>
      </c>
      <c r="AO1" s="4" t="s">
        <v>15</v>
      </c>
      <c r="AP1" s="5" t="s">
        <v>16</v>
      </c>
      <c r="AQ1" s="4" t="s">
        <v>17</v>
      </c>
      <c r="AR1" s="4" t="s">
        <v>18</v>
      </c>
      <c r="AS1" s="4" t="s">
        <v>19</v>
      </c>
      <c r="AT1" s="4" t="s">
        <v>20</v>
      </c>
      <c r="AU1" s="4" t="s">
        <v>21</v>
      </c>
      <c r="AV1" s="5" t="s">
        <v>22</v>
      </c>
      <c r="AW1" s="4" t="s">
        <v>23</v>
      </c>
      <c r="AX1" s="4" t="s">
        <v>24</v>
      </c>
      <c r="AY1" s="4" t="s">
        <v>25</v>
      </c>
      <c r="AZ1" s="4" t="s">
        <v>26</v>
      </c>
      <c r="BA1" s="4" t="s">
        <v>27</v>
      </c>
      <c r="BB1" s="5" t="s">
        <v>28</v>
      </c>
      <c r="BC1" s="4" t="s">
        <v>29</v>
      </c>
      <c r="BD1" s="4" t="s">
        <v>30</v>
      </c>
      <c r="BE1" s="5" t="s">
        <v>31</v>
      </c>
      <c r="BF1" s="4" t="s">
        <v>32</v>
      </c>
      <c r="BG1" s="8" t="s">
        <v>46</v>
      </c>
      <c r="BH1" s="16"/>
      <c r="BJ1" s="4"/>
    </row>
    <row r="2" spans="1:62" x14ac:dyDescent="0.3">
      <c r="A2" s="1" t="s">
        <v>33</v>
      </c>
      <c r="B2" s="27" t="s">
        <v>81</v>
      </c>
      <c r="C2" s="1">
        <v>101.50678000000001</v>
      </c>
      <c r="D2" s="2">
        <v>84.78837</v>
      </c>
      <c r="E2" s="1">
        <v>85.184910000000002</v>
      </c>
      <c r="F2" s="1">
        <v>63.526220000000002</v>
      </c>
      <c r="G2" s="1">
        <v>86.129429999999999</v>
      </c>
      <c r="H2" s="1">
        <v>172.27786</v>
      </c>
      <c r="I2" s="1">
        <v>95.997900000000001</v>
      </c>
      <c r="J2" s="1">
        <v>91.91225</v>
      </c>
      <c r="K2" s="1">
        <v>90.728129999999993</v>
      </c>
      <c r="L2" s="1">
        <v>129.54483999999999</v>
      </c>
      <c r="M2" s="1">
        <v>82.04571</v>
      </c>
      <c r="N2" s="1">
        <v>114.69918</v>
      </c>
      <c r="O2">
        <v>93.583759999999998</v>
      </c>
      <c r="P2" s="2">
        <v>2.5712799999999998</v>
      </c>
      <c r="Q2" s="1">
        <v>2.5888399999999998</v>
      </c>
      <c r="R2" s="1">
        <v>2.8304499999999999</v>
      </c>
      <c r="S2" s="1">
        <v>2.7433200000000002</v>
      </c>
      <c r="T2" s="1">
        <v>3.9353199999999999</v>
      </c>
      <c r="U2" s="1">
        <v>3.37398</v>
      </c>
      <c r="V2" s="1">
        <v>3.2555100000000001</v>
      </c>
      <c r="W2" s="1">
        <v>3.2383899999999999</v>
      </c>
      <c r="X2" s="23">
        <v>4.1043500000000002</v>
      </c>
      <c r="Y2" s="1">
        <v>-88.856470000000002</v>
      </c>
      <c r="Z2" s="1">
        <v>87.699449999999999</v>
      </c>
      <c r="AA2" s="2">
        <v>2.3615599999999999</v>
      </c>
      <c r="AB2" s="1">
        <v>2.35033</v>
      </c>
      <c r="AC2" s="1">
        <v>3.6490399999999998</v>
      </c>
      <c r="AD2" s="1">
        <v>1.58236</v>
      </c>
      <c r="AE2" s="1">
        <v>1.86772</v>
      </c>
      <c r="AF2" s="6">
        <v>2095.44</v>
      </c>
      <c r="AG2" s="7">
        <v>481.24079999999998</v>
      </c>
      <c r="AH2" s="6">
        <v>2049.46</v>
      </c>
      <c r="AI2" s="7">
        <v>1110.2954999999999</v>
      </c>
      <c r="AJ2" s="6">
        <v>0.22800000000000001</v>
      </c>
      <c r="AK2" s="7">
        <v>-0.92</v>
      </c>
      <c r="AL2" s="7">
        <v>-0.60499999999999998</v>
      </c>
      <c r="AM2" s="7">
        <v>-0.56499999999999995</v>
      </c>
      <c r="AN2" s="7">
        <v>0.245</v>
      </c>
      <c r="AO2" s="7">
        <v>-0.17699999999999999</v>
      </c>
      <c r="AP2" s="6">
        <v>-1.4490000000000001</v>
      </c>
      <c r="AQ2" s="7">
        <v>1.3080000000000001</v>
      </c>
      <c r="AR2" s="7">
        <v>1.2889999999999999</v>
      </c>
      <c r="AS2" s="7">
        <v>-0.438</v>
      </c>
      <c r="AT2" s="7">
        <v>-0.189</v>
      </c>
      <c r="AU2" s="7">
        <v>0.14499999999999999</v>
      </c>
      <c r="AV2" s="6">
        <v>-0.42399999999999999</v>
      </c>
      <c r="AW2" s="7">
        <v>0.45800000000000002</v>
      </c>
      <c r="AX2" s="7">
        <v>0.44400000000000001</v>
      </c>
      <c r="AY2" s="7">
        <v>-0.36099999999999999</v>
      </c>
      <c r="AZ2" s="9">
        <v>-7.0000000000000007E-2</v>
      </c>
      <c r="BA2" s="9">
        <v>-1.9E-2</v>
      </c>
      <c r="BB2" s="6">
        <v>-3.6880000000000003E-2</v>
      </c>
      <c r="BC2" s="7">
        <v>-0.19725999999999999</v>
      </c>
      <c r="BD2" s="7">
        <f>BC2-BB2</f>
        <v>-0.16037999999999999</v>
      </c>
      <c r="BE2" s="10">
        <v>0.72155561161741899</v>
      </c>
      <c r="BF2" s="11">
        <v>99.715000000000003</v>
      </c>
      <c r="BG2" s="12">
        <v>1.6782142535864</v>
      </c>
      <c r="BJ2" s="18"/>
    </row>
    <row r="3" spans="1:62" x14ac:dyDescent="0.3">
      <c r="A3" s="27" t="s">
        <v>76</v>
      </c>
      <c r="B3" s="27" t="s">
        <v>82</v>
      </c>
      <c r="C3" s="1">
        <v>101.40891000000001</v>
      </c>
      <c r="D3" s="2">
        <v>84.73612</v>
      </c>
      <c r="E3" s="1">
        <v>85.417599999999993</v>
      </c>
      <c r="F3" s="1">
        <v>63.831060000000001</v>
      </c>
      <c r="G3" s="1">
        <v>86.143739999999994</v>
      </c>
      <c r="H3" s="1">
        <v>172.34557000000001</v>
      </c>
      <c r="I3" s="1">
        <v>96.133099999999999</v>
      </c>
      <c r="J3" s="1">
        <v>92.024760000000001</v>
      </c>
      <c r="K3" s="1">
        <v>90.604680000000002</v>
      </c>
      <c r="L3" s="1">
        <v>129.74092999999999</v>
      </c>
      <c r="M3" s="1">
        <v>82.20102</v>
      </c>
      <c r="N3" s="1">
        <v>114.50004</v>
      </c>
      <c r="O3">
        <v>93.406220000000005</v>
      </c>
      <c r="P3" s="2">
        <v>2.5691799999999998</v>
      </c>
      <c r="Q3" s="1">
        <v>2.5929799999999998</v>
      </c>
      <c r="R3" s="1">
        <v>2.8380100000000001</v>
      </c>
      <c r="S3" s="1">
        <v>2.7468499999999998</v>
      </c>
      <c r="T3" s="1">
        <v>3.9396900000000001</v>
      </c>
      <c r="U3" s="1">
        <v>3.3787699999999998</v>
      </c>
      <c r="V3" s="1">
        <v>3.2597999999999998</v>
      </c>
      <c r="W3" s="1">
        <v>3.2358099999999999</v>
      </c>
      <c r="X3" s="23">
        <v>4.1086099999999997</v>
      </c>
      <c r="Y3" s="1">
        <v>-89.299459999999996</v>
      </c>
      <c r="Z3" s="1">
        <v>87.313959999999994</v>
      </c>
      <c r="AA3" s="2">
        <v>2.3648199999999999</v>
      </c>
      <c r="AB3" s="1">
        <v>2.3536199999999998</v>
      </c>
      <c r="AC3" s="1">
        <v>3.6516500000000001</v>
      </c>
      <c r="AD3" s="1">
        <v>1.5833299999999999</v>
      </c>
      <c r="AE3" s="1">
        <v>1.8668800000000001</v>
      </c>
      <c r="AF3" s="6">
        <v>2090.15</v>
      </c>
      <c r="AG3" s="7">
        <v>514.35659999999996</v>
      </c>
      <c r="AH3" s="6">
        <v>2046.15</v>
      </c>
      <c r="AI3" s="7">
        <v>1117.6107</v>
      </c>
      <c r="AJ3" s="6">
        <v>-3.1E-2</v>
      </c>
      <c r="AK3" s="7">
        <v>-0.28499999999999998</v>
      </c>
      <c r="AL3" s="7">
        <v>-0.29899999999999999</v>
      </c>
      <c r="AM3" s="7">
        <v>-0.58099999999999996</v>
      </c>
      <c r="AN3" s="7">
        <v>0.27800000000000002</v>
      </c>
      <c r="AO3" s="7">
        <v>-0.161</v>
      </c>
      <c r="AP3" s="6">
        <v>-1.4450000000000001</v>
      </c>
      <c r="AQ3" s="7">
        <v>1.3109999999999999</v>
      </c>
      <c r="AR3" s="7">
        <v>1.294</v>
      </c>
      <c r="AS3" s="7">
        <v>-0.44</v>
      </c>
      <c r="AT3" s="7">
        <v>-0.191</v>
      </c>
      <c r="AU3" s="7">
        <v>0.14199999999999999</v>
      </c>
      <c r="AV3" s="6">
        <v>-0.434</v>
      </c>
      <c r="AW3" s="7">
        <v>0.47</v>
      </c>
      <c r="AX3" s="7">
        <v>0.46200000000000002</v>
      </c>
      <c r="AY3" s="7">
        <v>-0.36699999999999999</v>
      </c>
      <c r="AZ3" s="7">
        <v>-7.1999999999999995E-2</v>
      </c>
      <c r="BA3" s="7">
        <v>-2.3E-2</v>
      </c>
      <c r="BB3" s="6">
        <v>-3.039E-2</v>
      </c>
      <c r="BC3" s="7">
        <v>-0.19248999999999999</v>
      </c>
      <c r="BD3" s="7">
        <f t="shared" ref="BD3:BD23" si="0">BC3-BB3</f>
        <v>-0.16209999999999999</v>
      </c>
      <c r="BE3" s="10">
        <v>0.72045386458957461</v>
      </c>
      <c r="BF3" s="11">
        <v>99.525000000000006</v>
      </c>
      <c r="BG3" s="12">
        <v>1.7576664864503477</v>
      </c>
      <c r="BH3" s="17"/>
      <c r="BJ3" s="18"/>
    </row>
    <row r="4" spans="1:62" x14ac:dyDescent="0.3">
      <c r="A4" s="27" t="s">
        <v>77</v>
      </c>
      <c r="B4" s="27" t="s">
        <v>83</v>
      </c>
      <c r="C4" s="1">
        <v>101.4104</v>
      </c>
      <c r="D4" s="2">
        <v>85.501109999999997</v>
      </c>
      <c r="E4" s="1">
        <v>85.023200000000003</v>
      </c>
      <c r="F4" s="1">
        <v>63.058160000000001</v>
      </c>
      <c r="G4" s="1">
        <v>85.812970000000007</v>
      </c>
      <c r="H4" s="1">
        <v>172.72595000000001</v>
      </c>
      <c r="I4" s="1">
        <v>95.113619999999997</v>
      </c>
      <c r="J4" s="1">
        <v>91.233590000000007</v>
      </c>
      <c r="K4" s="1">
        <v>91.01782</v>
      </c>
      <c r="L4" s="1">
        <v>128.72648000000001</v>
      </c>
      <c r="M4" s="1">
        <v>82.354410000000001</v>
      </c>
      <c r="N4" s="1">
        <v>115.23466999999999</v>
      </c>
      <c r="O4">
        <v>93.659329999999997</v>
      </c>
      <c r="P4" s="2">
        <v>2.5901000000000001</v>
      </c>
      <c r="Q4" s="1">
        <v>2.5861299999999998</v>
      </c>
      <c r="R4" s="1">
        <v>2.8177599999999998</v>
      </c>
      <c r="S4" s="1">
        <v>2.7355499999999999</v>
      </c>
      <c r="T4" s="1">
        <v>3.9365299999999999</v>
      </c>
      <c r="U4" s="1">
        <v>3.3511500000000001</v>
      </c>
      <c r="V4" s="1">
        <v>3.2373799999999999</v>
      </c>
      <c r="W4" s="1">
        <v>3.2460100000000001</v>
      </c>
      <c r="X4" s="23">
        <v>4.0898199999999996</v>
      </c>
      <c r="Y4" s="1">
        <v>-87.676569999999998</v>
      </c>
      <c r="Z4" s="1">
        <v>89.072149999999993</v>
      </c>
      <c r="AA4" s="2">
        <v>2.3605499999999999</v>
      </c>
      <c r="AB4" s="1">
        <v>2.34918</v>
      </c>
      <c r="AC4" s="1">
        <v>3.64486</v>
      </c>
      <c r="AD4" s="1">
        <v>1.58362</v>
      </c>
      <c r="AE4" s="1">
        <v>1.86592</v>
      </c>
      <c r="AF4" s="6">
        <v>2090.9299999999998</v>
      </c>
      <c r="AG4" s="7">
        <v>483.36689999999999</v>
      </c>
      <c r="AH4" s="6">
        <v>2044.6</v>
      </c>
      <c r="AI4" s="7">
        <v>1081.5166999999999</v>
      </c>
      <c r="AJ4" s="6">
        <v>-0.23599999999999999</v>
      </c>
      <c r="AK4" s="7">
        <v>-0.108</v>
      </c>
      <c r="AL4" s="7">
        <v>-0.122</v>
      </c>
      <c r="AM4" s="7">
        <v>-0.73199999999999998</v>
      </c>
      <c r="AN4" s="7">
        <v>0.377</v>
      </c>
      <c r="AO4" s="7">
        <v>-0.14299999999999999</v>
      </c>
      <c r="AP4" s="6">
        <v>-1.4490000000000001</v>
      </c>
      <c r="AQ4" s="7">
        <v>1.31</v>
      </c>
      <c r="AR4" s="7">
        <v>1.292</v>
      </c>
      <c r="AS4" s="7">
        <v>-0.439</v>
      </c>
      <c r="AT4" s="7">
        <v>-0.191</v>
      </c>
      <c r="AU4" s="7">
        <v>0.14199999999999999</v>
      </c>
      <c r="AV4" s="6">
        <v>-0.46700000000000003</v>
      </c>
      <c r="AW4" s="7">
        <v>0.502</v>
      </c>
      <c r="AX4" s="7">
        <v>0.46800000000000003</v>
      </c>
      <c r="AY4" s="7">
        <v>-0.34699999999999998</v>
      </c>
      <c r="AZ4" s="7">
        <v>-7.2999999999999995E-2</v>
      </c>
      <c r="BA4" s="7">
        <v>-1.4E-2</v>
      </c>
      <c r="BB4" s="6">
        <v>-3.3509999999999998E-2</v>
      </c>
      <c r="BC4" s="7">
        <v>-0.19449</v>
      </c>
      <c r="BD4" s="7">
        <f t="shared" si="0"/>
        <v>-0.16098000000000001</v>
      </c>
      <c r="BE4" s="10">
        <v>0.73757331840686202</v>
      </c>
      <c r="BF4" s="11">
        <v>99.78</v>
      </c>
      <c r="BG4" s="12">
        <v>1.6788347992495656</v>
      </c>
      <c r="BH4" s="17"/>
      <c r="BJ4" s="18"/>
    </row>
    <row r="5" spans="1:62" x14ac:dyDescent="0.3">
      <c r="A5" s="27" t="s">
        <v>78</v>
      </c>
      <c r="B5" s="27" t="s">
        <v>84</v>
      </c>
      <c r="C5" s="1">
        <v>101.92995999999999</v>
      </c>
      <c r="D5" s="2">
        <v>83.889439999999993</v>
      </c>
      <c r="E5" s="1">
        <v>82.273979999999995</v>
      </c>
      <c r="F5" s="1">
        <v>60.006799999999998</v>
      </c>
      <c r="G5" s="1">
        <v>80.50197</v>
      </c>
      <c r="H5" s="1">
        <v>177.01695000000001</v>
      </c>
      <c r="I5" s="1">
        <v>93.763940000000005</v>
      </c>
      <c r="J5" s="1">
        <v>105.18304999999999</v>
      </c>
      <c r="K5" s="1">
        <v>94.74297</v>
      </c>
      <c r="L5" s="1">
        <v>140.90242000000001</v>
      </c>
      <c r="M5" s="1">
        <v>81.907079999999993</v>
      </c>
      <c r="N5" s="1">
        <v>108.57585</v>
      </c>
      <c r="O5">
        <v>98.841329999999999</v>
      </c>
      <c r="P5" s="2">
        <v>2.5478499999999999</v>
      </c>
      <c r="Q5" s="1">
        <v>2.4987699999999999</v>
      </c>
      <c r="R5" s="1">
        <v>2.7147999999999999</v>
      </c>
      <c r="S5" s="1">
        <v>2.6539100000000002</v>
      </c>
      <c r="T5" s="1">
        <v>4.0017100000000001</v>
      </c>
      <c r="U5" s="1">
        <v>3.3752900000000001</v>
      </c>
      <c r="V5" s="1">
        <v>3.6551900000000002</v>
      </c>
      <c r="W5" s="1">
        <v>3.39201</v>
      </c>
      <c r="X5" s="23">
        <v>4.3204399999999996</v>
      </c>
      <c r="Y5" s="1">
        <v>-85.262990000000002</v>
      </c>
      <c r="Z5" s="1">
        <v>89.958889999999997</v>
      </c>
      <c r="AA5" s="2">
        <v>2.43554</v>
      </c>
      <c r="AB5" s="1">
        <v>2.4157700000000002</v>
      </c>
      <c r="AC5" s="1">
        <v>3.7683300000000002</v>
      </c>
      <c r="AD5" s="1">
        <v>1.5674600000000001</v>
      </c>
      <c r="AE5" s="1">
        <v>1.8688499999999999</v>
      </c>
      <c r="AF5" s="6">
        <v>2156.4699999999998</v>
      </c>
      <c r="AG5" s="7">
        <v>388.72160000000002</v>
      </c>
      <c r="AH5" s="6">
        <v>2044.37</v>
      </c>
      <c r="AI5" s="7">
        <v>944.85170000000005</v>
      </c>
      <c r="AJ5" s="6">
        <v>0.161</v>
      </c>
      <c r="AK5" s="7">
        <v>-1.2929999999999999</v>
      </c>
      <c r="AL5" s="7">
        <v>-0.69</v>
      </c>
      <c r="AM5" s="7">
        <v>-0.57499999999999996</v>
      </c>
      <c r="AN5" s="7">
        <v>0.32900000000000001</v>
      </c>
      <c r="AO5" s="7">
        <v>-0.105</v>
      </c>
      <c r="AP5" s="6">
        <v>-1.3240000000000001</v>
      </c>
      <c r="AQ5" s="7">
        <v>1.234</v>
      </c>
      <c r="AR5" s="7">
        <v>1.232</v>
      </c>
      <c r="AS5" s="7">
        <v>-0.47299999999999998</v>
      </c>
      <c r="AT5" s="7">
        <v>-0.185</v>
      </c>
      <c r="AU5" s="7">
        <v>0.182</v>
      </c>
      <c r="AV5" s="6">
        <v>-0.32300000000000001</v>
      </c>
      <c r="AW5" s="7">
        <v>0.29099999999999998</v>
      </c>
      <c r="AX5" s="19">
        <v>0.27900000000000003</v>
      </c>
      <c r="AY5" s="7">
        <v>-0.45400000000000001</v>
      </c>
      <c r="AZ5" s="7">
        <v>-6.0999999999999999E-2</v>
      </c>
      <c r="BA5" s="7">
        <v>2.5999999999999999E-2</v>
      </c>
      <c r="BB5" s="6">
        <v>-3.3750000000000002E-2</v>
      </c>
      <c r="BC5" s="7">
        <v>-0.19978000000000001</v>
      </c>
      <c r="BD5" s="7">
        <f t="shared" si="0"/>
        <v>-0.16603000000000001</v>
      </c>
      <c r="BE5" s="13">
        <v>0.77852519630412165</v>
      </c>
      <c r="BF5" s="11">
        <v>95.89</v>
      </c>
      <c r="BG5" s="12">
        <v>0.81011514692008268</v>
      </c>
      <c r="BH5" s="17"/>
      <c r="BJ5" s="18"/>
    </row>
    <row r="6" spans="1:62" x14ac:dyDescent="0.3">
      <c r="A6" s="27" t="s">
        <v>79</v>
      </c>
      <c r="B6" s="27" t="s">
        <v>85</v>
      </c>
      <c r="C6" s="1">
        <v>101.48784000000001</v>
      </c>
      <c r="D6" s="2">
        <v>84.804230000000004</v>
      </c>
      <c r="E6" s="1">
        <v>85.239469999999997</v>
      </c>
      <c r="F6" s="1">
        <v>63.585970000000003</v>
      </c>
      <c r="G6" s="1">
        <v>86.151219999999995</v>
      </c>
      <c r="H6" s="1">
        <v>172.27005</v>
      </c>
      <c r="I6" s="1">
        <v>95.998249999999999</v>
      </c>
      <c r="J6" s="1">
        <v>92.037450000000007</v>
      </c>
      <c r="K6" s="1">
        <v>90.681079999999994</v>
      </c>
      <c r="L6" s="1">
        <v>129.69301999999999</v>
      </c>
      <c r="M6" s="1">
        <v>82.086640000000003</v>
      </c>
      <c r="N6" s="1">
        <v>114.60926000000001</v>
      </c>
      <c r="O6">
        <v>93.52364</v>
      </c>
      <c r="P6" s="2">
        <v>2.57138</v>
      </c>
      <c r="Q6" s="1">
        <v>2.5896599999999999</v>
      </c>
      <c r="R6" s="1">
        <v>2.83182</v>
      </c>
      <c r="S6" s="1">
        <v>2.7444500000000001</v>
      </c>
      <c r="T6" s="1">
        <v>3.9363100000000002</v>
      </c>
      <c r="U6" s="1">
        <v>3.3741500000000002</v>
      </c>
      <c r="V6" s="1">
        <v>3.2589899999999998</v>
      </c>
      <c r="W6" s="1">
        <v>3.2370899999999998</v>
      </c>
      <c r="X6" s="23">
        <v>4.1066700000000003</v>
      </c>
      <c r="Y6" s="1">
        <v>-88.923919999999995</v>
      </c>
      <c r="Z6" s="1">
        <v>87.654619999999994</v>
      </c>
      <c r="AA6" s="2">
        <v>2.3622800000000002</v>
      </c>
      <c r="AB6" s="1">
        <v>2.3509000000000002</v>
      </c>
      <c r="AC6" s="1">
        <v>3.64954</v>
      </c>
      <c r="AD6" s="1">
        <v>1.5826499999999999</v>
      </c>
      <c r="AE6" s="1">
        <v>1.86748</v>
      </c>
      <c r="AF6" s="6">
        <v>2093.52</v>
      </c>
      <c r="AG6" s="7">
        <v>489.06040000000002</v>
      </c>
      <c r="AH6" s="6">
        <v>2048.3200000000002</v>
      </c>
      <c r="AI6" s="7">
        <v>1090.5723</v>
      </c>
      <c r="AJ6" s="6">
        <v>0.1</v>
      </c>
      <c r="AK6" s="7">
        <v>-0.56499999999999995</v>
      </c>
      <c r="AL6" s="7">
        <v>-0.50800000000000001</v>
      </c>
      <c r="AM6" s="7">
        <v>-0.57499999999999996</v>
      </c>
      <c r="AN6" s="7">
        <v>0.26100000000000001</v>
      </c>
      <c r="AO6" s="7">
        <v>-0.16600000000000001</v>
      </c>
      <c r="AP6" s="6">
        <v>-1.448</v>
      </c>
      <c r="AQ6" s="7">
        <v>1.3089999999999999</v>
      </c>
      <c r="AR6" s="9">
        <v>1.29</v>
      </c>
      <c r="AS6" s="7">
        <f>-0.439</f>
        <v>-0.439</v>
      </c>
      <c r="AT6" s="7">
        <v>-0.189</v>
      </c>
      <c r="AU6" s="7">
        <v>0.14399999999999999</v>
      </c>
      <c r="AV6" s="6">
        <v>-0.42799999999999999</v>
      </c>
      <c r="AW6" s="7">
        <v>0.46300000000000002</v>
      </c>
      <c r="AX6" s="7">
        <v>0.44800000000000001</v>
      </c>
      <c r="AY6" s="7">
        <v>-0.36199999999999999</v>
      </c>
      <c r="AZ6" s="7">
        <v>-7.0000000000000007E-2</v>
      </c>
      <c r="BA6" s="7">
        <v>-0.02</v>
      </c>
      <c r="BB6" s="6">
        <v>-3.44E-2</v>
      </c>
      <c r="BC6" s="7">
        <v>-0.19575999999999999</v>
      </c>
      <c r="BD6" s="7">
        <f>BC6-BB6</f>
        <v>-0.16136</v>
      </c>
      <c r="BE6" s="10">
        <v>0.72130333322821738</v>
      </c>
      <c r="BF6" s="11">
        <v>99.68</v>
      </c>
      <c r="BG6" s="12">
        <v>1.6782893212927115</v>
      </c>
      <c r="BH6" s="17"/>
      <c r="BJ6" s="18"/>
    </row>
    <row r="7" spans="1:62" x14ac:dyDescent="0.3">
      <c r="A7" s="27" t="s">
        <v>80</v>
      </c>
      <c r="B7" s="27" t="s">
        <v>86</v>
      </c>
      <c r="C7" s="1">
        <v>104.05594000000001</v>
      </c>
      <c r="D7" s="2">
        <v>85.752579999999995</v>
      </c>
      <c r="E7" s="1">
        <v>84.933170000000004</v>
      </c>
      <c r="F7" s="1">
        <v>62.912399999999998</v>
      </c>
      <c r="G7" s="1">
        <v>85.696619999999996</v>
      </c>
      <c r="H7" s="1">
        <v>170.18680000000001</v>
      </c>
      <c r="I7" s="1">
        <v>94.433220000000006</v>
      </c>
      <c r="J7" s="1">
        <v>94.498170000000002</v>
      </c>
      <c r="K7" s="1">
        <v>89.1875</v>
      </c>
      <c r="L7" s="1">
        <v>132.02384000000001</v>
      </c>
      <c r="M7" s="1">
        <v>81.813569999999999</v>
      </c>
      <c r="N7" s="1">
        <v>108.20009</v>
      </c>
      <c r="O7">
        <v>93.895750000000007</v>
      </c>
      <c r="P7" s="2">
        <v>2.59023</v>
      </c>
      <c r="Q7" s="1">
        <v>2.5790600000000001</v>
      </c>
      <c r="R7" s="1">
        <v>2.8153899999999998</v>
      </c>
      <c r="S7" s="1">
        <v>2.7488100000000002</v>
      </c>
      <c r="T7" s="1">
        <v>3.9503400000000002</v>
      </c>
      <c r="U7" s="1">
        <v>3.3466900000000002</v>
      </c>
      <c r="V7" s="1">
        <v>3.3385799999999999</v>
      </c>
      <c r="W7" s="1">
        <v>3.2086299999999999</v>
      </c>
      <c r="X7" s="23">
        <v>4.1601900000000001</v>
      </c>
      <c r="Y7" s="1">
        <v>-87.204369999999997</v>
      </c>
      <c r="Z7" s="1">
        <v>89.588319999999996</v>
      </c>
      <c r="AA7" s="2">
        <v>2.3834599999999999</v>
      </c>
      <c r="AB7" s="1">
        <v>2.37052</v>
      </c>
      <c r="AC7" s="1">
        <v>3.74762</v>
      </c>
      <c r="AD7" s="1">
        <v>1.58081</v>
      </c>
      <c r="AE7" s="1">
        <v>1.8666199999999999</v>
      </c>
      <c r="AF7" s="6">
        <v>2095.98</v>
      </c>
      <c r="AG7" s="7">
        <v>479.01240000000001</v>
      </c>
      <c r="AH7" s="6">
        <v>2050.09</v>
      </c>
      <c r="AI7" s="7">
        <v>1013.6994</v>
      </c>
      <c r="AJ7" s="6">
        <v>-0.26100000000000001</v>
      </c>
      <c r="AK7" s="7">
        <v>-0.46</v>
      </c>
      <c r="AL7" s="7">
        <v>-0.40799999999999997</v>
      </c>
      <c r="AM7" s="7">
        <v>-0.63500000000000001</v>
      </c>
      <c r="AN7" s="9">
        <v>0.36</v>
      </c>
      <c r="AO7" s="7">
        <v>-0.105</v>
      </c>
      <c r="AP7" s="6">
        <v>-1.4039999999999999</v>
      </c>
      <c r="AQ7" s="7">
        <v>1.2889999999999999</v>
      </c>
      <c r="AR7" s="7">
        <v>1.278</v>
      </c>
      <c r="AS7" s="7">
        <v>-0.443</v>
      </c>
      <c r="AT7" s="7">
        <v>-0.191</v>
      </c>
      <c r="AU7" s="7">
        <v>0.14799999999999999</v>
      </c>
      <c r="AV7" s="6">
        <v>-0.41499999999999998</v>
      </c>
      <c r="AW7" s="7">
        <v>0.40899999999999997</v>
      </c>
      <c r="AX7" s="7">
        <v>0.41899999999999998</v>
      </c>
      <c r="AY7" s="7">
        <v>-0.36</v>
      </c>
      <c r="AZ7" s="7">
        <v>-9.2999999999999999E-2</v>
      </c>
      <c r="BA7" s="7">
        <v>-1.4999999999999999E-2</v>
      </c>
      <c r="BB7" s="6">
        <v>-3.3439999999999998E-2</v>
      </c>
      <c r="BC7" s="7">
        <v>-0.19089</v>
      </c>
      <c r="BD7" s="7">
        <f>BC7-BB7</f>
        <v>-0.15745000000000001</v>
      </c>
      <c r="BE7" s="10">
        <v>0.73454991958626348</v>
      </c>
      <c r="BF7" s="11">
        <v>98.52</v>
      </c>
      <c r="BG7" s="12">
        <v>1.2091696481548653</v>
      </c>
      <c r="BH7" s="17"/>
      <c r="BJ7" s="18"/>
    </row>
    <row r="8" spans="1:62" x14ac:dyDescent="0.3">
      <c r="A8" s="1" t="s">
        <v>34</v>
      </c>
      <c r="B8" s="27" t="s">
        <v>87</v>
      </c>
      <c r="C8" s="1">
        <v>101.24339999999999</v>
      </c>
      <c r="D8" s="2">
        <v>84.962789999999998</v>
      </c>
      <c r="E8" s="1">
        <v>85.497169999999997</v>
      </c>
      <c r="F8" s="1">
        <v>63.81738</v>
      </c>
      <c r="G8" s="1">
        <v>86.064620000000005</v>
      </c>
      <c r="H8" s="1">
        <v>172.60948999999999</v>
      </c>
      <c r="I8" s="1">
        <v>95.776619999999994</v>
      </c>
      <c r="J8" s="1">
        <v>92.064080000000004</v>
      </c>
      <c r="K8" s="1">
        <v>90.571640000000002</v>
      </c>
      <c r="L8" s="1">
        <v>129.79956000000001</v>
      </c>
      <c r="M8" s="1">
        <v>82.247240000000005</v>
      </c>
      <c r="N8" s="1">
        <v>114.76765</v>
      </c>
      <c r="O8">
        <v>93.565029999999993</v>
      </c>
      <c r="P8" s="2">
        <v>2.5746600000000002</v>
      </c>
      <c r="Q8" s="1">
        <v>2.5939100000000002</v>
      </c>
      <c r="R8" s="1">
        <v>2.83589</v>
      </c>
      <c r="S8" s="1">
        <v>2.74539</v>
      </c>
      <c r="T8" s="1">
        <v>3.9400599999999999</v>
      </c>
      <c r="U8" s="1">
        <v>3.3681399999999999</v>
      </c>
      <c r="V8" s="1">
        <v>3.26051</v>
      </c>
      <c r="W8" s="1">
        <v>3.2327699999999999</v>
      </c>
      <c r="X8" s="23">
        <v>4.1078400000000004</v>
      </c>
      <c r="Y8" s="1">
        <v>-89.135540000000006</v>
      </c>
      <c r="Z8" s="1">
        <v>87.580200000000005</v>
      </c>
      <c r="AA8" s="2">
        <v>2.3636400000000002</v>
      </c>
      <c r="AB8" s="1">
        <v>2.3534999999999999</v>
      </c>
      <c r="AC8" s="1">
        <v>3.6462300000000001</v>
      </c>
      <c r="AD8" s="1">
        <v>1.5843100000000001</v>
      </c>
      <c r="AE8" s="1">
        <v>1.8662399999999999</v>
      </c>
      <c r="AF8" s="6">
        <v>2085.04</v>
      </c>
      <c r="AG8" s="7">
        <v>526.66330000000005</v>
      </c>
      <c r="AH8" s="6">
        <v>2044.83</v>
      </c>
      <c r="AI8" s="7">
        <v>1137.0319</v>
      </c>
      <c r="AJ8" s="6">
        <v>-0.17</v>
      </c>
      <c r="AK8" s="7">
        <v>-0.129</v>
      </c>
      <c r="AL8" s="7">
        <v>-0.32400000000000001</v>
      </c>
      <c r="AM8" s="7">
        <v>-0.61799999999999999</v>
      </c>
      <c r="AN8" s="7">
        <v>0.33100000000000002</v>
      </c>
      <c r="AO8" s="7">
        <v>-0.13900000000000001</v>
      </c>
      <c r="AP8" s="6">
        <v>-1.4510000000000001</v>
      </c>
      <c r="AQ8" s="7">
        <v>1.3220000000000001</v>
      </c>
      <c r="AR8" s="7">
        <v>1.302</v>
      </c>
      <c r="AS8" s="7">
        <v>-0.441</v>
      </c>
      <c r="AT8" s="7">
        <v>-0.193</v>
      </c>
      <c r="AU8" s="7">
        <v>0.14000000000000001</v>
      </c>
      <c r="AV8" s="14">
        <v>-0.44</v>
      </c>
      <c r="AW8" s="7">
        <v>0.47499999999999998</v>
      </c>
      <c r="AX8" s="7">
        <v>0.47</v>
      </c>
      <c r="AY8" s="7">
        <v>-0.36899999999999999</v>
      </c>
      <c r="AZ8" s="7">
        <v>-7.2999999999999995E-2</v>
      </c>
      <c r="BA8" s="7">
        <v>-2.5999999999999999E-2</v>
      </c>
      <c r="BB8" s="6">
        <v>-2.3619999999999999E-2</v>
      </c>
      <c r="BC8" s="7">
        <v>-0.18806</v>
      </c>
      <c r="BD8" s="7">
        <f t="shared" si="0"/>
        <v>-0.16444</v>
      </c>
      <c r="BE8" s="10">
        <v>0.72047751568856233</v>
      </c>
      <c r="BF8" s="11">
        <v>99.57</v>
      </c>
      <c r="BG8" s="12">
        <v>1.7553423780149464</v>
      </c>
      <c r="BH8" s="17"/>
      <c r="BJ8" s="18"/>
    </row>
    <row r="9" spans="1:62" x14ac:dyDescent="0.3">
      <c r="A9" s="1" t="s">
        <v>35</v>
      </c>
      <c r="B9" s="27" t="s">
        <v>88</v>
      </c>
      <c r="C9" s="1">
        <v>101.50205</v>
      </c>
      <c r="D9" s="2">
        <v>85.105249999999998</v>
      </c>
      <c r="E9" s="1">
        <v>85.531890000000004</v>
      </c>
      <c r="F9" s="1">
        <v>63.853839999999998</v>
      </c>
      <c r="G9" s="1">
        <v>85.971249999999998</v>
      </c>
      <c r="H9" s="1">
        <v>172.40762000000001</v>
      </c>
      <c r="I9" s="1">
        <v>95.845830000000007</v>
      </c>
      <c r="J9" s="1">
        <v>92.18459</v>
      </c>
      <c r="K9" s="1">
        <v>90.611559999999997</v>
      </c>
      <c r="L9" s="1">
        <v>129.75230999999999</v>
      </c>
      <c r="M9" s="1">
        <v>81.704599999999999</v>
      </c>
      <c r="N9" s="1">
        <v>115.15861</v>
      </c>
      <c r="O9">
        <v>93.767319999999998</v>
      </c>
      <c r="P9" s="2">
        <v>2.58161</v>
      </c>
      <c r="Q9" s="1">
        <v>2.5987399999999998</v>
      </c>
      <c r="R9" s="1">
        <v>2.8395199999999998</v>
      </c>
      <c r="S9" s="1">
        <v>2.7405300000000001</v>
      </c>
      <c r="T9" s="1">
        <v>3.9319099999999998</v>
      </c>
      <c r="U9" s="1">
        <v>3.3691800000000001</v>
      </c>
      <c r="V9" s="1">
        <v>3.2659500000000001</v>
      </c>
      <c r="W9" s="1">
        <v>3.2334100000000001</v>
      </c>
      <c r="X9" s="23">
        <v>4.1103800000000001</v>
      </c>
      <c r="Y9" s="1">
        <v>-89.019069999999999</v>
      </c>
      <c r="Z9" s="1">
        <v>87.771889999999999</v>
      </c>
      <c r="AA9" s="2">
        <v>2.35737</v>
      </c>
      <c r="AB9" s="1">
        <v>2.3511799999999998</v>
      </c>
      <c r="AC9" s="1">
        <v>3.6463199999999998</v>
      </c>
      <c r="AD9" s="1">
        <v>1.5828599999999999</v>
      </c>
      <c r="AE9" s="1">
        <v>1.8688</v>
      </c>
      <c r="AF9" s="6">
        <v>2082.06</v>
      </c>
      <c r="AG9" s="7">
        <v>458.12790000000001</v>
      </c>
      <c r="AH9" s="6">
        <v>2053.88</v>
      </c>
      <c r="AI9" s="7">
        <v>1085.0775000000001</v>
      </c>
      <c r="AJ9" s="6">
        <v>-3.1E-2</v>
      </c>
      <c r="AK9" s="7">
        <v>-2.9000000000000001E-2</v>
      </c>
      <c r="AL9" s="7">
        <v>4.5999999999999999E-2</v>
      </c>
      <c r="AM9" s="7">
        <v>-0.58299999999999996</v>
      </c>
      <c r="AN9" s="7">
        <v>0.16800000000000001</v>
      </c>
      <c r="AO9" s="7">
        <v>0.14499999999999999</v>
      </c>
      <c r="AP9" s="6">
        <v>-1.452</v>
      </c>
      <c r="AQ9" s="7">
        <v>1.3109999999999999</v>
      </c>
      <c r="AR9" s="7">
        <v>1.2889999999999999</v>
      </c>
      <c r="AS9" s="7">
        <v>-0.438</v>
      </c>
      <c r="AT9" s="7">
        <v>-0.188</v>
      </c>
      <c r="AU9" s="7">
        <v>0.14899999999999999</v>
      </c>
      <c r="AV9" s="6">
        <v>-0.48399999999999999</v>
      </c>
      <c r="AW9" s="7">
        <v>0.48199999999999998</v>
      </c>
      <c r="AX9" s="7">
        <v>0.502</v>
      </c>
      <c r="AY9" s="7">
        <v>-0.371</v>
      </c>
      <c r="AZ9" s="7">
        <v>-7.0000000000000007E-2</v>
      </c>
      <c r="BA9" s="7">
        <v>-1.2E-2</v>
      </c>
      <c r="BB9" s="6">
        <v>-2.8410000000000001E-2</v>
      </c>
      <c r="BC9" s="7">
        <v>-0.19173999999999999</v>
      </c>
      <c r="BD9" s="7">
        <f t="shared" si="0"/>
        <v>-0.16333</v>
      </c>
      <c r="BE9" s="10">
        <v>0.72929149191132414</v>
      </c>
      <c r="BF9" s="11">
        <v>99.81</v>
      </c>
      <c r="BG9" s="12">
        <v>1.7563837384559848</v>
      </c>
      <c r="BH9" s="17"/>
      <c r="BJ9" s="18"/>
    </row>
    <row r="10" spans="1:62" x14ac:dyDescent="0.3">
      <c r="A10" s="1" t="s">
        <v>47</v>
      </c>
      <c r="B10" s="27" t="s">
        <v>89</v>
      </c>
      <c r="C10" s="1">
        <v>103.99352</v>
      </c>
      <c r="D10" s="2">
        <v>84.389840000000007</v>
      </c>
      <c r="E10" s="1">
        <v>84.662030000000001</v>
      </c>
      <c r="F10" s="1">
        <v>63.05254</v>
      </c>
      <c r="G10" s="1">
        <v>84.61036</v>
      </c>
      <c r="H10" s="1">
        <v>171.38916</v>
      </c>
      <c r="I10" s="1">
        <v>95.259889999999999</v>
      </c>
      <c r="J10" s="1">
        <v>93.629260000000002</v>
      </c>
      <c r="K10" s="1">
        <v>89.757350000000002</v>
      </c>
      <c r="L10" s="1">
        <v>131.34948</v>
      </c>
      <c r="M10" s="1">
        <v>82.397260000000003</v>
      </c>
      <c r="N10" s="1">
        <v>109.32006</v>
      </c>
      <c r="O10">
        <v>94.226429999999993</v>
      </c>
      <c r="P10" s="2">
        <v>2.5533100000000002</v>
      </c>
      <c r="Q10" s="1">
        <v>2.56704</v>
      </c>
      <c r="R10" s="1">
        <v>2.8173900000000001</v>
      </c>
      <c r="S10" s="1">
        <v>2.71509</v>
      </c>
      <c r="T10" s="1">
        <v>3.9390399999999999</v>
      </c>
      <c r="U10" s="1">
        <v>3.3540899999999998</v>
      </c>
      <c r="V10" s="1">
        <v>3.30403</v>
      </c>
      <c r="W10" s="1">
        <v>3.2102499999999998</v>
      </c>
      <c r="X10" s="23">
        <v>4.13497</v>
      </c>
      <c r="Y10" s="1">
        <v>-88.497559999999993</v>
      </c>
      <c r="Z10" s="1">
        <v>87.709739999999996</v>
      </c>
      <c r="AA10" s="2">
        <v>2.3698600000000001</v>
      </c>
      <c r="AB10" s="1">
        <v>2.3614700000000002</v>
      </c>
      <c r="AC10" s="1">
        <v>3.72817</v>
      </c>
      <c r="AD10" s="1">
        <v>1.57989</v>
      </c>
      <c r="AE10" s="1">
        <v>1.87052</v>
      </c>
      <c r="AF10" s="6">
        <v>2102.4299999999998</v>
      </c>
      <c r="AG10" s="7">
        <v>444.03789999999998</v>
      </c>
      <c r="AH10" s="6">
        <v>2048.5</v>
      </c>
      <c r="AI10" s="7">
        <v>1044.9127000000001</v>
      </c>
      <c r="AJ10" s="6">
        <v>-0.25600000000000001</v>
      </c>
      <c r="AK10" s="7">
        <v>-0.56699999999999995</v>
      </c>
      <c r="AL10" s="7">
        <v>-0.43</v>
      </c>
      <c r="AM10" s="7">
        <v>-0.53200000000000003</v>
      </c>
      <c r="AN10" s="7">
        <v>0.25900000000000001</v>
      </c>
      <c r="AO10" s="7">
        <v>-7.0000000000000007E-2</v>
      </c>
      <c r="AP10" s="6">
        <v>-1.417</v>
      </c>
      <c r="AQ10" s="7">
        <v>1.2969999999999999</v>
      </c>
      <c r="AR10" s="7">
        <v>1.2889999999999999</v>
      </c>
      <c r="AS10" s="7">
        <v>-0.44400000000000001</v>
      </c>
      <c r="AT10" s="7">
        <v>-0.193</v>
      </c>
      <c r="AU10" s="7">
        <v>0.153</v>
      </c>
      <c r="AV10" s="6">
        <v>-0.45</v>
      </c>
      <c r="AW10" s="7">
        <v>0.42</v>
      </c>
      <c r="AX10" s="7">
        <v>0.55900000000000005</v>
      </c>
      <c r="AY10" s="7">
        <v>-0.36099999999999999</v>
      </c>
      <c r="AZ10" s="7">
        <v>-8.6999999999999994E-2</v>
      </c>
      <c r="BA10" s="7">
        <v>-2.5000000000000001E-2</v>
      </c>
      <c r="BB10" s="6">
        <v>-3.2070000000000001E-2</v>
      </c>
      <c r="BC10" s="7">
        <v>-0.19014</v>
      </c>
      <c r="BD10" s="7">
        <f t="shared" si="0"/>
        <v>-0.15806999999999999</v>
      </c>
      <c r="BE10" s="10">
        <v>0.75504162593421842</v>
      </c>
      <c r="BF10" s="11">
        <v>99.16</v>
      </c>
      <c r="BG10" s="12">
        <v>1.6122982590600732</v>
      </c>
      <c r="BH10" s="17"/>
      <c r="BJ10" s="18"/>
    </row>
    <row r="11" spans="1:62" x14ac:dyDescent="0.3">
      <c r="A11" s="1" t="s">
        <v>36</v>
      </c>
      <c r="B11" s="27" t="s">
        <v>90</v>
      </c>
      <c r="C11" s="1">
        <v>101.41092999999999</v>
      </c>
      <c r="D11" s="2">
        <v>84.597049999999996</v>
      </c>
      <c r="E11" s="1">
        <v>85.040700000000001</v>
      </c>
      <c r="F11" s="1">
        <v>63.434559999999998</v>
      </c>
      <c r="G11" s="1">
        <v>86.170500000000004</v>
      </c>
      <c r="H11" s="1">
        <v>172.33420000000001</v>
      </c>
      <c r="I11" s="1">
        <v>96.217500000000001</v>
      </c>
      <c r="J11" s="1">
        <v>91.593050000000005</v>
      </c>
      <c r="K11" s="1">
        <v>90.940979999999996</v>
      </c>
      <c r="L11" s="1">
        <v>129.13958</v>
      </c>
      <c r="M11" s="1">
        <v>82.006829999999994</v>
      </c>
      <c r="N11" s="1">
        <v>115.06285</v>
      </c>
      <c r="O11">
        <v>93.619159999999994</v>
      </c>
      <c r="P11" s="2">
        <v>2.5686200000000001</v>
      </c>
      <c r="Q11" s="1">
        <v>2.5881099999999999</v>
      </c>
      <c r="R11" s="1">
        <v>2.8290099999999998</v>
      </c>
      <c r="S11" s="1">
        <v>2.7400600000000002</v>
      </c>
      <c r="T11" s="1">
        <v>3.9312299999999998</v>
      </c>
      <c r="U11" s="1">
        <v>3.3793799999999998</v>
      </c>
      <c r="V11" s="1">
        <v>3.24539</v>
      </c>
      <c r="W11" s="1">
        <v>3.2446199999999998</v>
      </c>
      <c r="X11" s="23">
        <v>4.0968799999999996</v>
      </c>
      <c r="Y11" s="1">
        <v>-88.873699999999999</v>
      </c>
      <c r="Z11" s="1">
        <v>87.575810000000004</v>
      </c>
      <c r="AA11" s="2">
        <v>2.3583099999999999</v>
      </c>
      <c r="AB11" s="1">
        <v>2.3457699999999999</v>
      </c>
      <c r="AC11" s="1">
        <v>3.6404899999999998</v>
      </c>
      <c r="AD11" s="1">
        <v>1.5813900000000001</v>
      </c>
      <c r="AE11" s="1">
        <v>1.8686100000000001</v>
      </c>
      <c r="AF11" s="6">
        <v>2100.89</v>
      </c>
      <c r="AG11" s="7">
        <v>466.92880000000002</v>
      </c>
      <c r="AH11" s="6">
        <v>2052.83</v>
      </c>
      <c r="AI11" s="7">
        <v>1067.7303999999999</v>
      </c>
      <c r="AJ11" s="6">
        <v>0.21299999999999999</v>
      </c>
      <c r="AK11" s="7">
        <v>-0.83</v>
      </c>
      <c r="AL11" s="7">
        <v>-0.61</v>
      </c>
      <c r="AM11" s="7">
        <v>-0.53600000000000003</v>
      </c>
      <c r="AN11" s="7">
        <v>0.20899999999999999</v>
      </c>
      <c r="AO11" s="7">
        <v>-0.17199999999999999</v>
      </c>
      <c r="AP11" s="6">
        <v>-1.454</v>
      </c>
      <c r="AQ11" s="7">
        <v>1.306</v>
      </c>
      <c r="AR11" s="7">
        <v>1.29</v>
      </c>
      <c r="AS11" s="7">
        <v>-0.435</v>
      </c>
      <c r="AT11" s="7">
        <v>-0.186</v>
      </c>
      <c r="AU11" s="7">
        <v>0.14899999999999999</v>
      </c>
      <c r="AV11" s="6">
        <v>-0.432</v>
      </c>
      <c r="AW11" s="7">
        <v>0.45500000000000002</v>
      </c>
      <c r="AX11" s="7">
        <v>0.44500000000000001</v>
      </c>
      <c r="AY11" s="7">
        <v>-0.35699999999999998</v>
      </c>
      <c r="AZ11" s="7">
        <v>-6.5000000000000002E-2</v>
      </c>
      <c r="BA11" s="7">
        <v>-1.4E-2</v>
      </c>
      <c r="BB11" s="6">
        <v>-7.5444999999999998E-2</v>
      </c>
      <c r="BC11" s="7">
        <v>-0.20316999999999999</v>
      </c>
      <c r="BD11" s="7">
        <f t="shared" si="0"/>
        <v>-0.12772499999999998</v>
      </c>
      <c r="BE11" s="10">
        <v>0.72247012077827888</v>
      </c>
      <c r="BF11" s="11">
        <v>99.944999999999993</v>
      </c>
      <c r="BG11" s="12">
        <v>1.6356102040948319</v>
      </c>
      <c r="BH11" s="17"/>
      <c r="BJ11" s="18"/>
    </row>
    <row r="12" spans="1:62" x14ac:dyDescent="0.3">
      <c r="A12" s="1" t="s">
        <v>48</v>
      </c>
      <c r="B12" s="27" t="s">
        <v>91</v>
      </c>
      <c r="C12" s="1">
        <v>104.40519999999999</v>
      </c>
      <c r="D12" s="2">
        <v>82.2791</v>
      </c>
      <c r="E12" s="1">
        <v>84.326040000000006</v>
      </c>
      <c r="F12" s="1">
        <v>63.427549999999997</v>
      </c>
      <c r="G12" s="1">
        <v>82.587620000000001</v>
      </c>
      <c r="H12" s="1">
        <v>172.79938000000001</v>
      </c>
      <c r="I12" s="1">
        <v>95.349879999999999</v>
      </c>
      <c r="J12" s="1">
        <v>94.074669999999998</v>
      </c>
      <c r="K12" s="1">
        <v>89.622110000000006</v>
      </c>
      <c r="L12" s="1">
        <v>131.71486999999999</v>
      </c>
      <c r="M12" s="1">
        <v>82.747140000000002</v>
      </c>
      <c r="N12" s="1">
        <v>109.96785</v>
      </c>
      <c r="O12">
        <v>96.236999999999995</v>
      </c>
      <c r="P12" s="2">
        <v>2.50318</v>
      </c>
      <c r="Q12" s="1">
        <v>2.5579900000000002</v>
      </c>
      <c r="R12" s="1">
        <v>2.8220800000000001</v>
      </c>
      <c r="S12" s="1">
        <v>2.6705999999999999</v>
      </c>
      <c r="T12" s="1">
        <v>3.9536799999999999</v>
      </c>
      <c r="U12" s="1">
        <v>3.3690899999999999</v>
      </c>
      <c r="V12" s="1">
        <v>3.3226</v>
      </c>
      <c r="W12" s="1">
        <v>3.2180599999999999</v>
      </c>
      <c r="X12" s="23">
        <v>4.14832</v>
      </c>
      <c r="Y12" s="1">
        <v>-90.652150000000006</v>
      </c>
      <c r="Z12" s="1">
        <v>84.714870000000005</v>
      </c>
      <c r="AA12" s="2">
        <v>2.3848400000000001</v>
      </c>
      <c r="AB12" s="1">
        <v>2.36869</v>
      </c>
      <c r="AC12" s="1">
        <v>3.75617</v>
      </c>
      <c r="AD12" s="1">
        <v>1.57633</v>
      </c>
      <c r="AE12" s="1">
        <v>1.8681099999999999</v>
      </c>
      <c r="AF12" s="6">
        <v>2109.41</v>
      </c>
      <c r="AG12" s="7">
        <v>422.15249999999997</v>
      </c>
      <c r="AH12" s="6">
        <v>2043.25</v>
      </c>
      <c r="AI12" s="7">
        <v>1014.749</v>
      </c>
      <c r="AJ12" s="6">
        <v>-0.55200000000000005</v>
      </c>
      <c r="AK12" s="7">
        <v>-1.4630000000000001</v>
      </c>
      <c r="AL12" s="7">
        <v>-0.85199999999999998</v>
      </c>
      <c r="AM12" s="7">
        <v>-0.68300000000000005</v>
      </c>
      <c r="AN12" s="7">
        <v>0.438</v>
      </c>
      <c r="AO12" s="7">
        <v>5.5E-2</v>
      </c>
      <c r="AP12" s="6">
        <v>-1.4330000000000001</v>
      </c>
      <c r="AQ12" s="7">
        <v>1.294</v>
      </c>
      <c r="AR12" s="7">
        <v>1.2869999999999999</v>
      </c>
      <c r="AS12" s="7">
        <v>-0.44600000000000001</v>
      </c>
      <c r="AT12" s="7">
        <v>-0.189</v>
      </c>
      <c r="AU12" s="7">
        <v>0.184</v>
      </c>
      <c r="AV12" s="6">
        <v>-0.443</v>
      </c>
      <c r="AW12" s="7">
        <v>0.34200000000000003</v>
      </c>
      <c r="AX12" s="7">
        <v>0.40899999999999997</v>
      </c>
      <c r="AY12" s="7">
        <v>-0.35399999999999998</v>
      </c>
      <c r="AZ12" s="7">
        <v>-0.106</v>
      </c>
      <c r="BA12" s="7">
        <v>2.9000000000000001E-2</v>
      </c>
      <c r="BB12" s="6">
        <v>-7.4450000000000002E-2</v>
      </c>
      <c r="BC12" s="7">
        <v>-0.1948</v>
      </c>
      <c r="BD12" s="7">
        <f t="shared" si="0"/>
        <v>-0.12035</v>
      </c>
      <c r="BE12" s="10">
        <v>0.7423744915013718</v>
      </c>
      <c r="BF12" s="11">
        <v>98.539999999999992</v>
      </c>
      <c r="BG12" s="12">
        <v>1.6271063132106114</v>
      </c>
      <c r="BH12" s="17"/>
      <c r="BJ12" s="18"/>
    </row>
    <row r="13" spans="1:62" x14ac:dyDescent="0.3">
      <c r="A13" s="1" t="s">
        <v>37</v>
      </c>
      <c r="B13" s="27" t="s">
        <v>92</v>
      </c>
      <c r="C13" s="1">
        <v>101.44692000000001</v>
      </c>
      <c r="D13" s="2">
        <v>84.612470000000002</v>
      </c>
      <c r="E13" s="1">
        <v>85.04777</v>
      </c>
      <c r="F13" s="1">
        <v>63.425719999999998</v>
      </c>
      <c r="G13" s="1">
        <v>86.20993</v>
      </c>
      <c r="H13" s="1">
        <v>172.25532000000001</v>
      </c>
      <c r="I13" s="1">
        <v>96.212739999999997</v>
      </c>
      <c r="J13" s="1">
        <v>91.70411</v>
      </c>
      <c r="K13" s="1">
        <v>90.890810000000002</v>
      </c>
      <c r="L13" s="1">
        <v>129.28638000000001</v>
      </c>
      <c r="M13" s="1">
        <v>81.940449999999998</v>
      </c>
      <c r="N13" s="1">
        <v>115.03014</v>
      </c>
      <c r="O13">
        <v>93.629260000000002</v>
      </c>
      <c r="P13" s="2">
        <v>2.5680499999999999</v>
      </c>
      <c r="Q13" s="1">
        <v>2.58711</v>
      </c>
      <c r="R13" s="1">
        <v>2.8279200000000002</v>
      </c>
      <c r="S13" s="1">
        <v>2.74125</v>
      </c>
      <c r="T13" s="1">
        <v>3.9314399999999998</v>
      </c>
      <c r="U13" s="1">
        <v>3.3787500000000001</v>
      </c>
      <c r="V13" s="1">
        <v>3.2478899999999999</v>
      </c>
      <c r="W13" s="1">
        <v>3.24255</v>
      </c>
      <c r="X13" s="23">
        <v>4.0983799999999997</v>
      </c>
      <c r="Y13" s="1">
        <v>-88.862949999999998</v>
      </c>
      <c r="Z13" s="1">
        <v>87.590779999999995</v>
      </c>
      <c r="AA13" s="2">
        <v>2.35873</v>
      </c>
      <c r="AB13" s="1">
        <v>2.3461099999999999</v>
      </c>
      <c r="AC13" s="1">
        <v>3.64202</v>
      </c>
      <c r="AD13" s="1">
        <v>1.5813600000000001</v>
      </c>
      <c r="AE13" s="1">
        <v>1.86917</v>
      </c>
      <c r="AF13" s="6">
        <v>2101.44</v>
      </c>
      <c r="AG13" s="7">
        <v>470.70850000000002</v>
      </c>
      <c r="AH13" s="6">
        <v>2054.52</v>
      </c>
      <c r="AI13" s="7">
        <v>1080.3812</v>
      </c>
      <c r="AJ13" s="6">
        <v>0.17899999999999999</v>
      </c>
      <c r="AK13" s="7">
        <v>-0.76700000000000002</v>
      </c>
      <c r="AL13" s="7">
        <v>-0.55100000000000005</v>
      </c>
      <c r="AM13" s="7">
        <v>-0.55300000000000005</v>
      </c>
      <c r="AN13" s="7">
        <v>0.23899999999999999</v>
      </c>
      <c r="AO13" s="7">
        <v>-0.16800000000000001</v>
      </c>
      <c r="AP13" s="6">
        <v>-1.4530000000000001</v>
      </c>
      <c r="AQ13" s="7">
        <v>1.306</v>
      </c>
      <c r="AR13" s="7">
        <v>1.2889999999999999</v>
      </c>
      <c r="AS13" s="7">
        <v>-0.436</v>
      </c>
      <c r="AT13" s="7">
        <v>-0.186</v>
      </c>
      <c r="AU13" s="7">
        <v>0.14899999999999999</v>
      </c>
      <c r="AV13" s="6">
        <v>-0.436</v>
      </c>
      <c r="AW13" s="7">
        <v>0.45800000000000002</v>
      </c>
      <c r="AX13" s="7">
        <v>0.44700000000000001</v>
      </c>
      <c r="AY13" s="7">
        <v>-0.35799999999999998</v>
      </c>
      <c r="AZ13" s="7">
        <v>-6.7000000000000004E-2</v>
      </c>
      <c r="BA13" s="7">
        <v>-1.4E-2</v>
      </c>
      <c r="BB13" s="6">
        <v>-6.4909999999999995E-2</v>
      </c>
      <c r="BC13" s="7">
        <v>-0.20165</v>
      </c>
      <c r="BD13" s="7">
        <f t="shared" si="0"/>
        <v>-0.13674</v>
      </c>
      <c r="BE13" s="10">
        <v>0.72213703446753497</v>
      </c>
      <c r="BF13" s="11">
        <v>99.914999999999992</v>
      </c>
      <c r="BG13" s="12">
        <v>1.7555367909040598</v>
      </c>
      <c r="BH13" s="17"/>
      <c r="BJ13" s="18"/>
    </row>
    <row r="14" spans="1:62" x14ac:dyDescent="0.3">
      <c r="A14" s="1" t="s">
        <v>38</v>
      </c>
      <c r="B14" s="27" t="s">
        <v>93</v>
      </c>
      <c r="C14" s="1">
        <v>101.28178</v>
      </c>
      <c r="D14" s="2">
        <v>84.711830000000006</v>
      </c>
      <c r="E14" s="1">
        <v>85.110830000000007</v>
      </c>
      <c r="F14" s="1">
        <v>63.439509999999999</v>
      </c>
      <c r="G14" s="1">
        <v>86.08408</v>
      </c>
      <c r="H14" s="1">
        <v>172.55371</v>
      </c>
      <c r="I14" s="1">
        <v>96.018519999999995</v>
      </c>
      <c r="J14" s="1">
        <v>92.003209999999996</v>
      </c>
      <c r="K14" s="1">
        <v>90.927779999999998</v>
      </c>
      <c r="L14" s="1">
        <v>129.58788999999999</v>
      </c>
      <c r="M14" s="1">
        <v>82.069149999999993</v>
      </c>
      <c r="N14" s="1">
        <v>115.01492</v>
      </c>
      <c r="O14">
        <v>93.695959999999999</v>
      </c>
      <c r="P14" s="2">
        <v>2.5708600000000001</v>
      </c>
      <c r="Q14" s="1">
        <v>2.5880200000000002</v>
      </c>
      <c r="R14" s="1">
        <v>2.8267699999999998</v>
      </c>
      <c r="S14" s="1">
        <v>2.7389999999999999</v>
      </c>
      <c r="T14" s="1">
        <v>3.9338700000000002</v>
      </c>
      <c r="U14" s="1">
        <v>3.3744999999999998</v>
      </c>
      <c r="V14" s="1">
        <v>3.2564799999999998</v>
      </c>
      <c r="W14" s="1">
        <v>3.2435100000000001</v>
      </c>
      <c r="X14" s="23">
        <v>4.1027699999999996</v>
      </c>
      <c r="Y14" s="1">
        <v>-88.836839999999995</v>
      </c>
      <c r="Z14" s="1">
        <v>87.671279999999996</v>
      </c>
      <c r="AA14" s="2">
        <v>2.3597700000000001</v>
      </c>
      <c r="AB14" s="1">
        <v>2.3465199999999999</v>
      </c>
      <c r="AC14" s="1">
        <v>3.6388500000000001</v>
      </c>
      <c r="AD14" s="1">
        <v>1.5821000000000001</v>
      </c>
      <c r="AE14" s="1">
        <v>1.8682399999999999</v>
      </c>
      <c r="AF14" s="6">
        <v>2097.2600000000002</v>
      </c>
      <c r="AG14" s="7">
        <v>473.57810000000001</v>
      </c>
      <c r="AH14" s="6">
        <v>2051.1999999999998</v>
      </c>
      <c r="AI14" s="7">
        <v>1118.1204</v>
      </c>
      <c r="AJ14" s="6">
        <v>0.151</v>
      </c>
      <c r="AK14" s="7">
        <v>-0.78400000000000003</v>
      </c>
      <c r="AL14" s="7">
        <v>-0.53900000000000003</v>
      </c>
      <c r="AM14" s="7">
        <v>-0.60199999999999998</v>
      </c>
      <c r="AN14" s="7">
        <v>0.26100000000000001</v>
      </c>
      <c r="AO14" s="7">
        <v>-0.16700000000000001</v>
      </c>
      <c r="AP14" s="6">
        <v>-1.4530000000000001</v>
      </c>
      <c r="AQ14" s="7">
        <v>1.3080000000000001</v>
      </c>
      <c r="AR14" s="7">
        <v>1.2909999999999999</v>
      </c>
      <c r="AS14" s="7">
        <v>-0.437</v>
      </c>
      <c r="AT14" s="7">
        <v>-0.186</v>
      </c>
      <c r="AU14" s="7">
        <v>0.14699999999999999</v>
      </c>
      <c r="AV14" s="6">
        <v>-0.436</v>
      </c>
      <c r="AW14" s="7">
        <v>0.45200000000000001</v>
      </c>
      <c r="AX14" s="7">
        <v>0.44</v>
      </c>
      <c r="AY14" s="7">
        <v>-0.35399999999999998</v>
      </c>
      <c r="AZ14" s="7">
        <v>-7.3999999999999996E-2</v>
      </c>
      <c r="BA14" s="7">
        <v>-1.6E-2</v>
      </c>
      <c r="BB14" s="6">
        <v>-5.7750000000000003E-2</v>
      </c>
      <c r="BC14" s="7">
        <v>-0.20044000000000001</v>
      </c>
      <c r="BD14" s="7">
        <f t="shared" si="0"/>
        <v>-0.14269000000000001</v>
      </c>
      <c r="BE14" s="10">
        <v>0.7217743842830564</v>
      </c>
      <c r="BF14" s="11">
        <v>99.88</v>
      </c>
      <c r="BG14" s="12">
        <v>1.7654667866558105</v>
      </c>
      <c r="BH14" s="17"/>
      <c r="BJ14" s="18"/>
    </row>
    <row r="15" spans="1:62" x14ac:dyDescent="0.3">
      <c r="A15" s="1" t="s">
        <v>49</v>
      </c>
      <c r="B15" s="27" t="s">
        <v>94</v>
      </c>
      <c r="C15" s="1">
        <v>103.97087000000001</v>
      </c>
      <c r="D15" s="2">
        <v>85.043509999999998</v>
      </c>
      <c r="E15" s="1">
        <v>85.063640000000007</v>
      </c>
      <c r="F15" s="1">
        <v>63.316650000000003</v>
      </c>
      <c r="G15" s="1">
        <v>85.159419999999997</v>
      </c>
      <c r="H15" s="1">
        <v>170.75905</v>
      </c>
      <c r="I15" s="1">
        <v>95.996920000000003</v>
      </c>
      <c r="J15" s="1">
        <v>91.453479999999999</v>
      </c>
      <c r="K15" s="1">
        <v>90.128640000000004</v>
      </c>
      <c r="L15" s="1">
        <v>129.01182</v>
      </c>
      <c r="M15" s="1">
        <v>81.60933</v>
      </c>
      <c r="N15" s="1">
        <v>112.59066</v>
      </c>
      <c r="O15">
        <v>93.364540000000005</v>
      </c>
      <c r="P15" s="2">
        <v>2.5741200000000002</v>
      </c>
      <c r="Q15" s="1">
        <v>2.5833400000000002</v>
      </c>
      <c r="R15" s="1">
        <v>2.82674</v>
      </c>
      <c r="S15" s="1">
        <v>2.7365499999999998</v>
      </c>
      <c r="T15" s="1">
        <v>3.9452600000000002</v>
      </c>
      <c r="U15" s="1">
        <v>3.3852600000000002</v>
      </c>
      <c r="V15" s="1">
        <v>3.25766</v>
      </c>
      <c r="W15" s="1">
        <v>3.2328600000000001</v>
      </c>
      <c r="X15" s="23">
        <v>4.1137300000000003</v>
      </c>
      <c r="Y15" s="1">
        <v>-88.328209999999999</v>
      </c>
      <c r="Z15" s="1">
        <v>88.269559999999998</v>
      </c>
      <c r="AA15" s="2">
        <v>2.3780999999999999</v>
      </c>
      <c r="AB15" s="1">
        <v>2.3719700000000001</v>
      </c>
      <c r="AC15" s="1">
        <v>3.7423600000000001</v>
      </c>
      <c r="AD15" s="1">
        <v>1.5794900000000001</v>
      </c>
      <c r="AE15" s="1">
        <v>1.8665</v>
      </c>
      <c r="AF15" s="6">
        <v>2109.96</v>
      </c>
      <c r="AG15" s="7">
        <v>458.33780000000002</v>
      </c>
      <c r="AH15" s="6">
        <v>2048.29</v>
      </c>
      <c r="AI15" s="7">
        <v>1033.0873999999999</v>
      </c>
      <c r="AJ15" s="6">
        <v>-0.30299999999999999</v>
      </c>
      <c r="AK15" s="7">
        <v>-0.90900000000000003</v>
      </c>
      <c r="AL15" s="7">
        <v>-0.46500000000000002</v>
      </c>
      <c r="AM15" s="7">
        <v>-0.63600000000000001</v>
      </c>
      <c r="AN15" s="7">
        <v>0.38400000000000001</v>
      </c>
      <c r="AO15" s="7">
        <v>-9.5000000000000001E-2</v>
      </c>
      <c r="AP15" s="6">
        <v>-1.4119999999999999</v>
      </c>
      <c r="AQ15" s="7">
        <v>1.296</v>
      </c>
      <c r="AR15" s="7">
        <v>1.2809999999999999</v>
      </c>
      <c r="AS15" s="7">
        <v>-0.439</v>
      </c>
      <c r="AT15" s="7">
        <v>-0.191</v>
      </c>
      <c r="AU15" s="7">
        <v>0.14899999999999999</v>
      </c>
      <c r="AV15" s="6">
        <v>-0.42299999999999999</v>
      </c>
      <c r="AW15" s="7">
        <v>0.42899999999999999</v>
      </c>
      <c r="AX15" s="7">
        <v>0.42299999999999999</v>
      </c>
      <c r="AY15" s="7">
        <v>-0.373</v>
      </c>
      <c r="AZ15" s="7">
        <v>-6.9000000000000006E-2</v>
      </c>
      <c r="BA15" s="7">
        <v>-1.7000000000000001E-2</v>
      </c>
      <c r="BB15" s="6">
        <v>-5.0849999999999999E-2</v>
      </c>
      <c r="BC15" s="7">
        <v>-0.19561999999999999</v>
      </c>
      <c r="BD15" s="7">
        <f t="shared" si="0"/>
        <v>-0.14476999999999998</v>
      </c>
      <c r="BE15" s="10">
        <v>0.73571079436157805</v>
      </c>
      <c r="BF15" s="11">
        <v>98.63</v>
      </c>
      <c r="BG15" s="12">
        <v>2.386820439923703</v>
      </c>
      <c r="BH15" s="17"/>
      <c r="BJ15" s="18"/>
    </row>
    <row r="16" spans="1:62" x14ac:dyDescent="0.3">
      <c r="A16" s="1" t="s">
        <v>39</v>
      </c>
      <c r="B16" s="27" t="s">
        <v>95</v>
      </c>
      <c r="C16" s="1">
        <v>101.29289</v>
      </c>
      <c r="D16" s="2">
        <v>84.754009999999994</v>
      </c>
      <c r="E16" s="1">
        <v>85.091239999999999</v>
      </c>
      <c r="F16" s="1">
        <v>63.418320000000001</v>
      </c>
      <c r="G16" s="1">
        <v>86.316720000000004</v>
      </c>
      <c r="H16" s="1">
        <v>172.28932</v>
      </c>
      <c r="I16" s="1">
        <v>96.108590000000007</v>
      </c>
      <c r="J16" s="1">
        <v>92.071950000000001</v>
      </c>
      <c r="K16" s="1">
        <v>90.894419999999997</v>
      </c>
      <c r="L16" s="1">
        <v>129.6978</v>
      </c>
      <c r="M16" s="1">
        <v>81.950149999999994</v>
      </c>
      <c r="N16" s="1">
        <v>114.80465</v>
      </c>
      <c r="O16">
        <v>93.596010000000007</v>
      </c>
      <c r="P16" s="2">
        <v>2.5708700000000002</v>
      </c>
      <c r="Q16" s="1">
        <v>2.5868099999999998</v>
      </c>
      <c r="R16" s="1">
        <v>2.8268599999999999</v>
      </c>
      <c r="S16" s="1">
        <v>2.7463700000000002</v>
      </c>
      <c r="T16" s="1">
        <v>3.9335499999999999</v>
      </c>
      <c r="U16" s="1">
        <v>3.37595</v>
      </c>
      <c r="V16" s="1">
        <v>3.2590300000000001</v>
      </c>
      <c r="W16" s="1">
        <v>3.2418800000000001</v>
      </c>
      <c r="X16" s="23">
        <v>4.10562</v>
      </c>
      <c r="Y16" s="1">
        <v>-88.748500000000007</v>
      </c>
      <c r="Z16" s="1">
        <v>87.764240000000001</v>
      </c>
      <c r="AA16" s="2">
        <v>2.3598300000000001</v>
      </c>
      <c r="AB16" s="1">
        <v>2.3486899999999999</v>
      </c>
      <c r="AC16" s="1">
        <v>3.64086</v>
      </c>
      <c r="AD16" s="1">
        <v>1.5823</v>
      </c>
      <c r="AE16" s="1">
        <v>1.8689899999999999</v>
      </c>
      <c r="AF16" s="6">
        <v>2096.67</v>
      </c>
      <c r="AG16" s="7">
        <v>524.33579999999995</v>
      </c>
      <c r="AH16" s="6">
        <v>2053.35</v>
      </c>
      <c r="AI16" s="7">
        <v>1137.7128</v>
      </c>
      <c r="AJ16" s="6">
        <v>0.215</v>
      </c>
      <c r="AK16" s="7">
        <v>-0.85399999999999998</v>
      </c>
      <c r="AL16" s="7">
        <v>-0.58799999999999997</v>
      </c>
      <c r="AM16" s="7">
        <v>-0.53500000000000003</v>
      </c>
      <c r="AN16" s="7">
        <v>0.22900000000000001</v>
      </c>
      <c r="AO16" s="7">
        <v>-0.17399999999999999</v>
      </c>
      <c r="AP16" s="6">
        <v>-1.45</v>
      </c>
      <c r="AQ16" s="7">
        <v>1.31</v>
      </c>
      <c r="AR16" s="7">
        <v>1.29</v>
      </c>
      <c r="AS16" s="7">
        <v>-0.437</v>
      </c>
      <c r="AT16" s="7">
        <v>-0.187</v>
      </c>
      <c r="AU16" s="7">
        <v>0.14499999999999999</v>
      </c>
      <c r="AV16" s="6">
        <v>-0.43099999999999999</v>
      </c>
      <c r="AW16" s="7">
        <v>0.46200000000000002</v>
      </c>
      <c r="AX16" s="7">
        <v>0.44600000000000001</v>
      </c>
      <c r="AY16" s="7">
        <v>-0.35899999999999999</v>
      </c>
      <c r="AZ16" s="7">
        <v>-6.8000000000000005E-2</v>
      </c>
      <c r="BA16" s="7">
        <v>-1.7999999999999999E-2</v>
      </c>
      <c r="BB16" s="6">
        <v>-4.308E-2</v>
      </c>
      <c r="BC16" s="7">
        <v>-0.2014</v>
      </c>
      <c r="BD16" s="7">
        <f t="shared" si="0"/>
        <v>-0.15831999999999999</v>
      </c>
      <c r="BE16" s="10">
        <v>0.72171722746050271</v>
      </c>
      <c r="BF16" s="11">
        <v>99.81</v>
      </c>
      <c r="BG16" s="12">
        <v>1.6752686779930017</v>
      </c>
      <c r="BH16" s="17"/>
      <c r="BJ16" s="18"/>
    </row>
    <row r="17" spans="1:62" x14ac:dyDescent="0.3">
      <c r="A17" s="1" t="s">
        <v>50</v>
      </c>
      <c r="B17" s="27" t="s">
        <v>96</v>
      </c>
      <c r="C17" s="1">
        <v>103.49095</v>
      </c>
      <c r="D17" s="25">
        <v>85.995339999999999</v>
      </c>
      <c r="E17">
        <v>84.760260000000002</v>
      </c>
      <c r="F17">
        <v>62.53877</v>
      </c>
      <c r="G17">
        <v>86.30386</v>
      </c>
      <c r="H17">
        <v>170.08725000000001</v>
      </c>
      <c r="I17">
        <v>94.489279999999994</v>
      </c>
      <c r="J17">
        <v>95.305599999999998</v>
      </c>
      <c r="K17">
        <v>89.541269999999997</v>
      </c>
      <c r="L17">
        <v>132.80488</v>
      </c>
      <c r="M17">
        <v>81.419250000000005</v>
      </c>
      <c r="N17">
        <v>108.17725</v>
      </c>
      <c r="O17" s="24">
        <v>93.879379999999998</v>
      </c>
      <c r="P17">
        <v>2.5971799999999998</v>
      </c>
      <c r="Q17">
        <v>2.57796</v>
      </c>
      <c r="R17">
        <v>2.8041900000000002</v>
      </c>
      <c r="S17">
        <v>2.7625000000000002</v>
      </c>
      <c r="T17">
        <v>3.9306899999999998</v>
      </c>
      <c r="U17">
        <v>3.33189</v>
      </c>
      <c r="V17">
        <v>3.3586</v>
      </c>
      <c r="W17">
        <v>3.2042700000000002</v>
      </c>
      <c r="X17" s="24">
        <v>4.1726400000000003</v>
      </c>
      <c r="Y17">
        <v>-86.611890000000002</v>
      </c>
      <c r="Z17">
        <v>90.207599999999999</v>
      </c>
      <c r="AA17" s="2">
        <v>2.3618700000000001</v>
      </c>
      <c r="AB17" s="1">
        <v>2.3683000000000001</v>
      </c>
      <c r="AC17" s="1">
        <v>3.7144499999999998</v>
      </c>
      <c r="AD17" s="1">
        <v>1.583</v>
      </c>
      <c r="AE17" s="1">
        <v>1.8698999999999999</v>
      </c>
      <c r="AF17" s="6">
        <v>2088.31</v>
      </c>
      <c r="AG17" s="7">
        <v>481.15219999999999</v>
      </c>
      <c r="AH17" s="6">
        <v>2058.5300000000002</v>
      </c>
      <c r="AI17" s="7">
        <v>994.64700000000005</v>
      </c>
      <c r="AJ17" s="6">
        <v>-0.224</v>
      </c>
      <c r="AK17" s="7">
        <v>-0.55800000000000005</v>
      </c>
      <c r="AL17" s="7">
        <v>-1.1919999999999999</v>
      </c>
      <c r="AM17" s="7">
        <v>-0.63900000000000001</v>
      </c>
      <c r="AN17" s="7">
        <v>0.36799999999999999</v>
      </c>
      <c r="AO17" s="7">
        <v>-8.3000000000000004E-2</v>
      </c>
      <c r="AP17" s="6">
        <v>-1.42</v>
      </c>
      <c r="AQ17" s="7">
        <v>1.3069999999999999</v>
      </c>
      <c r="AR17" s="7">
        <v>1.288</v>
      </c>
      <c r="AS17" s="7">
        <v>-0.44400000000000001</v>
      </c>
      <c r="AT17" s="7">
        <v>-0.188</v>
      </c>
      <c r="AU17" s="7">
        <v>0.14299999999999999</v>
      </c>
      <c r="AV17" s="6">
        <v>-0.42499999999999999</v>
      </c>
      <c r="AW17" s="7">
        <v>0.442</v>
      </c>
      <c r="AX17" s="7">
        <v>0.40100000000000002</v>
      </c>
      <c r="AY17" s="7">
        <v>-0.34</v>
      </c>
      <c r="AZ17" s="7">
        <v>-8.1000000000000003E-2</v>
      </c>
      <c r="BA17" s="7">
        <v>-0.02</v>
      </c>
      <c r="BB17" s="6">
        <v>-3.9960000000000002E-2</v>
      </c>
      <c r="BC17" s="7">
        <v>-0.19600999999999999</v>
      </c>
      <c r="BD17" s="7">
        <f t="shared" si="0"/>
        <v>-0.15604999999999999</v>
      </c>
      <c r="BE17" s="10">
        <v>0.74006653842515213</v>
      </c>
      <c r="BF17" s="11">
        <v>99.19</v>
      </c>
      <c r="BG17" s="12">
        <v>1.1280384113700821</v>
      </c>
      <c r="BH17" s="17"/>
      <c r="BJ17" s="18"/>
    </row>
    <row r="18" spans="1:62" x14ac:dyDescent="0.3">
      <c r="A18" s="1" t="s">
        <v>40</v>
      </c>
      <c r="B18" s="27" t="s">
        <v>97</v>
      </c>
      <c r="C18" s="1">
        <v>101.78202</v>
      </c>
      <c r="D18" s="2">
        <v>84.448610000000002</v>
      </c>
      <c r="E18" s="1">
        <v>84.93759</v>
      </c>
      <c r="F18" s="1">
        <v>63.347859999999997</v>
      </c>
      <c r="G18" s="1">
        <v>86.173749999999998</v>
      </c>
      <c r="H18" s="1">
        <v>171.96614</v>
      </c>
      <c r="I18" s="1">
        <v>96.213669999999993</v>
      </c>
      <c r="J18" s="1">
        <v>92.408109999999994</v>
      </c>
      <c r="K18" s="1">
        <v>90.686480000000003</v>
      </c>
      <c r="L18" s="1">
        <v>129.97927000000001</v>
      </c>
      <c r="M18" s="1">
        <v>81.811089999999993</v>
      </c>
      <c r="N18" s="1">
        <v>114.50354</v>
      </c>
      <c r="O18">
        <v>93.723680000000002</v>
      </c>
      <c r="P18" s="2">
        <v>2.5635599999999998</v>
      </c>
      <c r="Q18" s="1">
        <v>2.5845500000000001</v>
      </c>
      <c r="R18" s="1">
        <v>2.8254700000000001</v>
      </c>
      <c r="S18" s="1">
        <v>2.7397999999999998</v>
      </c>
      <c r="T18" s="1">
        <v>3.9306999999999999</v>
      </c>
      <c r="U18" s="1">
        <v>3.3790800000000001</v>
      </c>
      <c r="V18" s="1">
        <v>3.26675</v>
      </c>
      <c r="W18" s="1">
        <v>3.2377500000000001</v>
      </c>
      <c r="X18" s="23">
        <v>4.1103100000000001</v>
      </c>
      <c r="Y18" s="1">
        <v>-88.894390000000001</v>
      </c>
      <c r="Z18" s="1">
        <v>87.465209999999999</v>
      </c>
      <c r="AA18" s="2">
        <v>2.3594300000000001</v>
      </c>
      <c r="AB18" s="1">
        <v>2.3458700000000001</v>
      </c>
      <c r="AC18" s="1">
        <v>3.6510799999999999</v>
      </c>
      <c r="AD18" s="1">
        <v>1.58057</v>
      </c>
      <c r="AE18" s="1">
        <v>1.87104</v>
      </c>
      <c r="AF18" s="6">
        <v>2105.4299999999998</v>
      </c>
      <c r="AG18" s="7">
        <v>499.62240000000003</v>
      </c>
      <c r="AH18" s="6">
        <v>2058.2800000000002</v>
      </c>
      <c r="AI18" s="7">
        <v>1113.2618</v>
      </c>
      <c r="AJ18" s="6">
        <v>0.224</v>
      </c>
      <c r="AK18" s="7">
        <v>-1.0529999999999999</v>
      </c>
      <c r="AL18" s="7">
        <v>-0.54200000000000004</v>
      </c>
      <c r="AM18" s="7">
        <v>-0.45800000000000002</v>
      </c>
      <c r="AN18" s="7">
        <v>0.17699999999999999</v>
      </c>
      <c r="AO18" s="7">
        <v>-0.16500000000000001</v>
      </c>
      <c r="AP18" s="6">
        <v>-1.4510000000000001</v>
      </c>
      <c r="AQ18" s="7">
        <v>1.3109999999999999</v>
      </c>
      <c r="AR18" s="7">
        <v>1.2949999999999999</v>
      </c>
      <c r="AS18" s="7">
        <v>-0.435</v>
      </c>
      <c r="AT18" s="7">
        <v>-0.183</v>
      </c>
      <c r="AU18" s="7">
        <v>0.151</v>
      </c>
      <c r="AV18" s="6">
        <v>-0.441</v>
      </c>
      <c r="AW18" s="7">
        <v>0.45600000000000002</v>
      </c>
      <c r="AX18" s="7">
        <v>0.45200000000000001</v>
      </c>
      <c r="AY18" s="7">
        <v>-0.35699999999999998</v>
      </c>
      <c r="AZ18" s="7">
        <v>-6.6000000000000003E-2</v>
      </c>
      <c r="BA18" s="7">
        <v>-0.01</v>
      </c>
      <c r="BB18" s="6">
        <v>-5.3150000000000003E-2</v>
      </c>
      <c r="BC18" s="7">
        <v>-0.20907000000000001</v>
      </c>
      <c r="BD18" s="7">
        <f t="shared" si="0"/>
        <v>-0.15592</v>
      </c>
      <c r="BE18" s="10">
        <v>0.7221823657405948</v>
      </c>
      <c r="BF18" s="11">
        <v>99.91</v>
      </c>
      <c r="BG18" s="12">
        <v>1.67555132213192</v>
      </c>
    </row>
    <row r="19" spans="1:62" x14ac:dyDescent="0.3">
      <c r="A19" s="1" t="s">
        <v>41</v>
      </c>
      <c r="B19" s="27" t="s">
        <v>98</v>
      </c>
      <c r="C19" s="1">
        <v>101.5684</v>
      </c>
      <c r="D19" s="2">
        <v>84.733670000000004</v>
      </c>
      <c r="E19" s="1">
        <v>85.145939999999996</v>
      </c>
      <c r="F19" s="1">
        <v>63.497010000000003</v>
      </c>
      <c r="G19" s="1">
        <v>86.188059999999993</v>
      </c>
      <c r="H19" s="1">
        <v>172.16609</v>
      </c>
      <c r="I19" s="1">
        <v>95.970249999999993</v>
      </c>
      <c r="J19" s="1">
        <v>92.103859999999997</v>
      </c>
      <c r="K19" s="1">
        <v>90.629940000000005</v>
      </c>
      <c r="L19" s="1">
        <v>129.72954999999999</v>
      </c>
      <c r="M19" s="1">
        <v>81.922529999999995</v>
      </c>
      <c r="N19" s="1">
        <v>114.73766000000001</v>
      </c>
      <c r="O19">
        <v>93.69229</v>
      </c>
      <c r="P19" s="2">
        <v>2.5699000000000001</v>
      </c>
      <c r="Q19" s="1">
        <v>2.58832</v>
      </c>
      <c r="R19" s="1">
        <v>2.8294299999999999</v>
      </c>
      <c r="S19" s="1">
        <v>2.7432699999999999</v>
      </c>
      <c r="T19" s="1">
        <v>3.9331999999999998</v>
      </c>
      <c r="U19" s="1">
        <v>3.3721000000000001</v>
      </c>
      <c r="V19" s="1">
        <v>3.2596400000000001</v>
      </c>
      <c r="W19" s="1">
        <v>3.2349800000000002</v>
      </c>
      <c r="X19" s="23">
        <v>4.1066500000000001</v>
      </c>
      <c r="Y19" s="1">
        <v>-88.863889999999998</v>
      </c>
      <c r="Z19" s="1">
        <v>87.660659999999993</v>
      </c>
      <c r="AA19" s="2">
        <v>2.36</v>
      </c>
      <c r="AB19" s="1">
        <v>2.34877</v>
      </c>
      <c r="AC19" s="1">
        <v>3.6482199999999998</v>
      </c>
      <c r="AD19" s="1">
        <v>1.58205</v>
      </c>
      <c r="AE19" s="1">
        <v>1.8689499999999999</v>
      </c>
      <c r="AF19" s="6">
        <v>2098.46</v>
      </c>
      <c r="AG19" s="7">
        <v>478.16640000000001</v>
      </c>
      <c r="AH19" s="6">
        <v>2052.9299999999998</v>
      </c>
      <c r="AI19" s="7">
        <v>1097.5951</v>
      </c>
      <c r="AJ19" s="6">
        <v>-2.9000000000000001E-2</v>
      </c>
      <c r="AK19" s="7">
        <v>-0.23899999999999999</v>
      </c>
      <c r="AL19" s="7">
        <v>-0.309</v>
      </c>
      <c r="AM19" s="7">
        <v>-0.57999999999999996</v>
      </c>
      <c r="AN19" s="7">
        <v>0.28399999999999997</v>
      </c>
      <c r="AO19" s="7">
        <v>-0.154</v>
      </c>
      <c r="AP19" s="6">
        <v>-1.4550000000000001</v>
      </c>
      <c r="AQ19" s="7">
        <v>1.3169999999999999</v>
      </c>
      <c r="AR19" s="7">
        <v>1.298</v>
      </c>
      <c r="AS19" s="7">
        <v>-0.437</v>
      </c>
      <c r="AT19" s="7">
        <v>-0.186</v>
      </c>
      <c r="AU19" s="7">
        <v>0.14599999999999999</v>
      </c>
      <c r="AV19" s="6">
        <v>-0.433</v>
      </c>
      <c r="AW19" s="7">
        <v>0.46200000000000002</v>
      </c>
      <c r="AX19" s="7">
        <v>0.44800000000000001</v>
      </c>
      <c r="AY19" s="7">
        <v>-0.36</v>
      </c>
      <c r="AZ19" s="7">
        <v>-6.8000000000000005E-2</v>
      </c>
      <c r="BA19" s="7">
        <v>-1.6E-2</v>
      </c>
      <c r="BB19" s="6">
        <v>-4.2419999999999999E-2</v>
      </c>
      <c r="BC19" s="7">
        <v>-0.2046</v>
      </c>
      <c r="BD19" s="7">
        <f t="shared" si="0"/>
        <v>-0.16217999999999999</v>
      </c>
      <c r="BE19" s="10">
        <v>0.72149648386995047</v>
      </c>
      <c r="BF19" s="11">
        <v>99.805000000000007</v>
      </c>
      <c r="BG19" s="12">
        <v>1.5993968781049557</v>
      </c>
    </row>
    <row r="20" spans="1:62" x14ac:dyDescent="0.3">
      <c r="A20" s="1" t="s">
        <v>42</v>
      </c>
      <c r="B20" s="27" t="s">
        <v>99</v>
      </c>
      <c r="C20" s="1">
        <v>101.99735</v>
      </c>
      <c r="D20" s="2">
        <v>84.131050000000002</v>
      </c>
      <c r="E20" s="1">
        <v>84.790099999999995</v>
      </c>
      <c r="F20" s="1">
        <v>63.287739999999999</v>
      </c>
      <c r="G20" s="1">
        <v>86.174750000000003</v>
      </c>
      <c r="H20" s="1">
        <v>171.72811999999999</v>
      </c>
      <c r="I20" s="1">
        <v>96.578890000000001</v>
      </c>
      <c r="J20" s="1">
        <v>93.052279999999996</v>
      </c>
      <c r="K20" s="1">
        <v>90.731589999999997</v>
      </c>
      <c r="L20" s="1">
        <v>130.608</v>
      </c>
      <c r="M20" s="1">
        <v>81.675579999999997</v>
      </c>
      <c r="N20" s="1">
        <v>113.88675000000001</v>
      </c>
      <c r="O20">
        <v>93.690010000000001</v>
      </c>
      <c r="P20" s="2">
        <v>2.5557599999999998</v>
      </c>
      <c r="Q20" s="1">
        <v>2.5809299999999999</v>
      </c>
      <c r="R20" s="1">
        <v>2.8236400000000001</v>
      </c>
      <c r="S20" s="1">
        <v>2.7368899999999998</v>
      </c>
      <c r="T20" s="1">
        <v>3.9298799999999998</v>
      </c>
      <c r="U20" s="1">
        <v>3.39011</v>
      </c>
      <c r="V20" s="1">
        <v>3.2827299999999999</v>
      </c>
      <c r="W20" s="1">
        <v>3.2405300000000001</v>
      </c>
      <c r="X20" s="23">
        <v>4.1191399999999998</v>
      </c>
      <c r="Y20" s="1">
        <v>-89.064409999999995</v>
      </c>
      <c r="Z20" s="1">
        <v>87.137069999999994</v>
      </c>
      <c r="AA20" s="2">
        <v>2.3607300000000002</v>
      </c>
      <c r="AB20" s="1">
        <v>2.3432900000000001</v>
      </c>
      <c r="AC20" s="1">
        <v>3.6556600000000001</v>
      </c>
      <c r="AD20" s="1">
        <v>1.579</v>
      </c>
      <c r="AE20" s="1">
        <v>1.87273</v>
      </c>
      <c r="AF20" s="6">
        <v>2110.23</v>
      </c>
      <c r="AG20" s="7">
        <v>431.56490000000002</v>
      </c>
      <c r="AH20" s="6">
        <v>2062.6799999999998</v>
      </c>
      <c r="AI20" s="7">
        <v>1064.8291999999999</v>
      </c>
      <c r="AJ20" s="6">
        <v>0.185</v>
      </c>
      <c r="AK20" s="7">
        <v>-0.93899999999999995</v>
      </c>
      <c r="AL20" s="7">
        <v>-0.48299999999999998</v>
      </c>
      <c r="AM20" s="7">
        <v>-0.5</v>
      </c>
      <c r="AN20" s="7">
        <v>0.20399999999999999</v>
      </c>
      <c r="AO20" s="7">
        <v>-0.156</v>
      </c>
      <c r="AP20" s="6">
        <v>-1.4470000000000001</v>
      </c>
      <c r="AQ20" s="7">
        <v>1.302</v>
      </c>
      <c r="AR20" s="7">
        <v>1.2889999999999999</v>
      </c>
      <c r="AS20" s="7">
        <v>-0.435</v>
      </c>
      <c r="AT20" s="7">
        <v>-0.18099999999999999</v>
      </c>
      <c r="AU20" s="7">
        <v>0.157</v>
      </c>
      <c r="AV20" s="6">
        <v>-0.45400000000000001</v>
      </c>
      <c r="AW20" s="7">
        <v>0.437</v>
      </c>
      <c r="AX20" s="7">
        <v>0.46</v>
      </c>
      <c r="AY20" s="7">
        <v>-0.35299999999999998</v>
      </c>
      <c r="AZ20" s="7">
        <v>-6.4000000000000001E-2</v>
      </c>
      <c r="BA20" s="7">
        <v>-4.0000000000000001E-3</v>
      </c>
      <c r="BB20" s="6">
        <v>-6.3990000000000005E-2</v>
      </c>
      <c r="BC20" s="7">
        <v>-0.21537000000000001</v>
      </c>
      <c r="BD20" s="7">
        <f t="shared" si="0"/>
        <v>-0.15138000000000001</v>
      </c>
      <c r="BE20" s="10">
        <v>0.7241670871306487</v>
      </c>
      <c r="BF20" s="11">
        <v>99.95</v>
      </c>
      <c r="BG20" s="12">
        <v>1.4547665909816156</v>
      </c>
    </row>
    <row r="21" spans="1:62" x14ac:dyDescent="0.3">
      <c r="A21" s="1" t="s">
        <v>43</v>
      </c>
      <c r="B21" s="27" t="s">
        <v>100</v>
      </c>
      <c r="C21" s="1">
        <v>104.06571</v>
      </c>
      <c r="D21" s="2">
        <v>85.108469999999997</v>
      </c>
      <c r="E21" s="1">
        <v>83.960589999999996</v>
      </c>
      <c r="F21" s="1">
        <v>62.010159999999999</v>
      </c>
      <c r="G21" s="1">
        <v>86.187129999999996</v>
      </c>
      <c r="H21" s="1">
        <v>169.66408999999999</v>
      </c>
      <c r="I21" s="1">
        <v>95.616950000000003</v>
      </c>
      <c r="J21" s="1">
        <v>92.356189999999998</v>
      </c>
      <c r="K21" s="1">
        <v>90.323849999999993</v>
      </c>
      <c r="L21" s="1">
        <v>129.5463</v>
      </c>
      <c r="M21" s="1">
        <v>80.616730000000004</v>
      </c>
      <c r="N21" s="1">
        <v>113.48678</v>
      </c>
      <c r="O21">
        <v>93.85427</v>
      </c>
      <c r="P21" s="2">
        <v>2.58121</v>
      </c>
      <c r="Q21" s="1">
        <v>2.5677599999999998</v>
      </c>
      <c r="R21" s="1">
        <v>2.7977699999999999</v>
      </c>
      <c r="S21" s="1">
        <v>2.7176300000000002</v>
      </c>
      <c r="T21" s="1">
        <v>3.9049100000000001</v>
      </c>
      <c r="U21" s="1">
        <v>3.3553899999999999</v>
      </c>
      <c r="V21" s="1">
        <v>3.2507600000000001</v>
      </c>
      <c r="W21" s="1">
        <v>3.2232099999999999</v>
      </c>
      <c r="X21" s="23">
        <v>4.08962</v>
      </c>
      <c r="Y21" s="1">
        <v>-86.448939999999993</v>
      </c>
      <c r="Z21" s="1">
        <v>89.820849999999993</v>
      </c>
      <c r="AA21" s="2">
        <v>2.3437399999999999</v>
      </c>
      <c r="AB21" s="1">
        <v>2.3209499999999998</v>
      </c>
      <c r="AC21" s="1">
        <v>3.6775000000000002</v>
      </c>
      <c r="AD21" s="1">
        <v>1.5765</v>
      </c>
      <c r="AE21" s="1">
        <v>1.8815</v>
      </c>
      <c r="AF21" s="6">
        <v>2130</v>
      </c>
      <c r="AG21" s="7">
        <v>277.04070000000002</v>
      </c>
      <c r="AH21" s="6">
        <v>2097.81</v>
      </c>
      <c r="AI21" s="7">
        <v>657.44979999999998</v>
      </c>
      <c r="AJ21" s="6">
        <v>-3.3000000000000002E-2</v>
      </c>
      <c r="AK21" s="7">
        <v>-0.57199999999999995</v>
      </c>
      <c r="AL21" s="7">
        <v>-0.309</v>
      </c>
      <c r="AM21" s="7">
        <v>-0.44400000000000001</v>
      </c>
      <c r="AN21" s="7">
        <v>0.16700000000000001</v>
      </c>
      <c r="AO21" s="7">
        <v>-0.112</v>
      </c>
      <c r="AP21" s="6">
        <v>-1.48</v>
      </c>
      <c r="AQ21" s="7">
        <v>1.3069999999999999</v>
      </c>
      <c r="AR21" s="7">
        <v>1.3</v>
      </c>
      <c r="AS21" s="7">
        <v>-0.42599999999999999</v>
      </c>
      <c r="AT21" s="7">
        <v>-0.17599999999999999</v>
      </c>
      <c r="AU21" s="7">
        <v>0.17199999999999999</v>
      </c>
      <c r="AV21" s="15">
        <v>-0.55400000000000005</v>
      </c>
      <c r="AW21" s="7">
        <v>0.45800000000000002</v>
      </c>
      <c r="AX21" s="7">
        <v>0.49399999999999999</v>
      </c>
      <c r="AY21" s="7">
        <v>-0.34200000000000003</v>
      </c>
      <c r="AZ21" s="7">
        <v>-6.4000000000000001E-2</v>
      </c>
      <c r="BA21" s="7">
        <v>2.3E-2</v>
      </c>
      <c r="BB21" s="6">
        <v>-7.6280000000000001E-2</v>
      </c>
      <c r="BC21" s="7">
        <v>-0.22334000000000001</v>
      </c>
      <c r="BD21" s="7">
        <f t="shared" si="0"/>
        <v>-0.14706000000000002</v>
      </c>
      <c r="BE21" s="13">
        <v>0.76290955819747086</v>
      </c>
      <c r="BF21" s="11">
        <v>101.11000000000001</v>
      </c>
      <c r="BG21" s="12">
        <v>1.1842406962751624</v>
      </c>
    </row>
    <row r="22" spans="1:62" x14ac:dyDescent="0.3">
      <c r="A22" s="1" t="s">
        <v>44</v>
      </c>
      <c r="B22" s="27" t="s">
        <v>101</v>
      </c>
      <c r="C22" s="1">
        <v>103.63938</v>
      </c>
      <c r="D22" s="2">
        <v>84.011080000000007</v>
      </c>
      <c r="E22" s="1">
        <v>84.739829999999998</v>
      </c>
      <c r="F22" s="1">
        <v>63.127549999999999</v>
      </c>
      <c r="G22" s="1">
        <v>80.993219999999994</v>
      </c>
      <c r="H22" s="1">
        <v>174.88444000000001</v>
      </c>
      <c r="I22" s="1">
        <v>93.285920000000004</v>
      </c>
      <c r="J22" s="1">
        <v>95.745500000000007</v>
      </c>
      <c r="K22" s="1">
        <v>90.451409999999996</v>
      </c>
      <c r="L22" s="1">
        <v>133.02912000000001</v>
      </c>
      <c r="M22" s="1">
        <v>82.325810000000004</v>
      </c>
      <c r="N22" s="1">
        <v>111.68613000000001</v>
      </c>
      <c r="O22">
        <v>97.767120000000006</v>
      </c>
      <c r="P22" s="2">
        <v>2.5496599999999998</v>
      </c>
      <c r="Q22" s="1">
        <v>2.5655100000000002</v>
      </c>
      <c r="R22" s="1">
        <v>2.80999</v>
      </c>
      <c r="S22" s="1">
        <v>2.61727</v>
      </c>
      <c r="T22" s="1">
        <v>3.9648599999999998</v>
      </c>
      <c r="U22" s="1">
        <v>3.3168099999999998</v>
      </c>
      <c r="V22" s="1">
        <v>3.3529900000000001</v>
      </c>
      <c r="W22" s="1">
        <v>3.2376900000000002</v>
      </c>
      <c r="X22" s="23">
        <v>4.1431300000000002</v>
      </c>
      <c r="Y22" s="1">
        <v>-89.105170000000001</v>
      </c>
      <c r="Z22" s="1">
        <v>86.996510000000001</v>
      </c>
      <c r="AA22" s="2">
        <v>2.38619</v>
      </c>
      <c r="AB22" s="1">
        <v>2.3470900000000001</v>
      </c>
      <c r="AC22" s="1">
        <v>3.7207599999999998</v>
      </c>
      <c r="AD22" s="1">
        <v>1.58246</v>
      </c>
      <c r="AE22" s="1">
        <v>1.86791</v>
      </c>
      <c r="AF22" s="6">
        <v>2096.6799999999998</v>
      </c>
      <c r="AG22" s="7">
        <v>411.30360000000002</v>
      </c>
      <c r="AH22" s="6">
        <v>2032.99</v>
      </c>
      <c r="AI22" s="7">
        <v>1043.3224</v>
      </c>
      <c r="AJ22" s="6">
        <v>1E-3</v>
      </c>
      <c r="AK22" s="7">
        <v>-0.86099999999999999</v>
      </c>
      <c r="AL22" s="7">
        <v>-0.60399999999999998</v>
      </c>
      <c r="AM22" s="7">
        <v>-0.624</v>
      </c>
      <c r="AN22" s="7">
        <v>0.28299999999999997</v>
      </c>
      <c r="AO22" s="7">
        <v>-0.114</v>
      </c>
      <c r="AP22" s="6">
        <v>-1.431</v>
      </c>
      <c r="AQ22" s="7">
        <v>1.3080000000000001</v>
      </c>
      <c r="AR22" s="7">
        <v>1.3089999999999999</v>
      </c>
      <c r="AS22" s="7">
        <v>-0.44500000000000001</v>
      </c>
      <c r="AT22" s="7">
        <v>-0.189</v>
      </c>
      <c r="AU22" s="7">
        <v>0.16800000000000001</v>
      </c>
      <c r="AV22" s="6">
        <v>-0.41699999999999998</v>
      </c>
      <c r="AW22" s="7">
        <v>0.36299999999999999</v>
      </c>
      <c r="AX22" s="7">
        <v>0.46</v>
      </c>
      <c r="AY22" s="7">
        <v>-0.36499999999999999</v>
      </c>
      <c r="AZ22" s="7">
        <v>-8.3000000000000004E-2</v>
      </c>
      <c r="BA22" s="7">
        <v>1.2E-2</v>
      </c>
      <c r="BB22" s="6">
        <v>-2.818E-2</v>
      </c>
      <c r="BC22" s="7">
        <v>-0.19355</v>
      </c>
      <c r="BD22" s="7">
        <f t="shared" si="0"/>
        <v>-0.16536999999999999</v>
      </c>
      <c r="BE22" s="10">
        <v>0.73460510548390145</v>
      </c>
      <c r="BF22" s="11">
        <v>99.12</v>
      </c>
      <c r="BG22" s="12">
        <v>1.4840689120471131</v>
      </c>
    </row>
    <row r="23" spans="1:62" x14ac:dyDescent="0.3">
      <c r="A23" s="1" t="s">
        <v>45</v>
      </c>
      <c r="B23" s="27" t="s">
        <v>102</v>
      </c>
      <c r="C23" s="1">
        <v>102.48763</v>
      </c>
      <c r="D23" s="2">
        <v>83.374089999999995</v>
      </c>
      <c r="E23" s="1">
        <v>85.625399999999999</v>
      </c>
      <c r="F23" s="1">
        <v>64.461979999999997</v>
      </c>
      <c r="G23" s="1">
        <v>81.154899999999998</v>
      </c>
      <c r="H23" s="1">
        <v>176.08686</v>
      </c>
      <c r="I23" s="1">
        <v>94.843329999999995</v>
      </c>
      <c r="J23" s="1">
        <v>94.484800000000007</v>
      </c>
      <c r="K23" s="1">
        <v>90.821190000000001</v>
      </c>
      <c r="L23" s="1">
        <v>132.16654</v>
      </c>
      <c r="M23" s="1">
        <v>81.950789999999998</v>
      </c>
      <c r="N23" s="1">
        <v>113.31975</v>
      </c>
      <c r="O23">
        <v>97.761269999999996</v>
      </c>
      <c r="P23" s="2">
        <v>2.5342600000000002</v>
      </c>
      <c r="Q23" s="1">
        <v>2.5849199999999999</v>
      </c>
      <c r="R23" s="1">
        <v>2.8448000000000002</v>
      </c>
      <c r="S23" s="1">
        <v>2.6286999999999998</v>
      </c>
      <c r="T23" s="1">
        <v>4.00237</v>
      </c>
      <c r="U23" s="1">
        <v>3.3851200000000001</v>
      </c>
      <c r="V23" s="1">
        <v>3.3254700000000001</v>
      </c>
      <c r="W23" s="1">
        <v>3.2729699999999999</v>
      </c>
      <c r="X23" s="23">
        <v>4.13591</v>
      </c>
      <c r="Y23" s="1">
        <v>-91.349109999999996</v>
      </c>
      <c r="Z23" s="1">
        <v>84.839640000000003</v>
      </c>
      <c r="AA23" s="2">
        <v>2.4213800000000001</v>
      </c>
      <c r="AB23" s="1">
        <v>2.3559600000000001</v>
      </c>
      <c r="AC23" s="1">
        <v>3.7256800000000001</v>
      </c>
      <c r="AD23" s="1">
        <v>1.5832200000000001</v>
      </c>
      <c r="AE23" s="1">
        <v>1.8674599999999999</v>
      </c>
      <c r="AF23" s="6">
        <v>2084.21</v>
      </c>
      <c r="AG23" s="7">
        <v>413.91840000000002</v>
      </c>
      <c r="AH23" s="6">
        <v>2033.2</v>
      </c>
      <c r="AI23" s="7">
        <v>1064.55</v>
      </c>
      <c r="AJ23" s="6">
        <v>2.5000000000000001E-2</v>
      </c>
      <c r="AK23" s="7">
        <v>-1.431</v>
      </c>
      <c r="AL23" s="7">
        <v>-0.501</v>
      </c>
      <c r="AM23" s="7">
        <v>-0.57399999999999995</v>
      </c>
      <c r="AN23" s="7">
        <v>0.35399999999999998</v>
      </c>
      <c r="AO23" s="7">
        <v>-0.152</v>
      </c>
      <c r="AP23" s="6">
        <v>-1.417</v>
      </c>
      <c r="AQ23" s="7">
        <v>1.276</v>
      </c>
      <c r="AR23" s="7">
        <v>1.3280000000000001</v>
      </c>
      <c r="AS23" s="7">
        <v>-0.45600000000000002</v>
      </c>
      <c r="AT23" s="7">
        <v>-0.19600000000000001</v>
      </c>
      <c r="AU23" s="7">
        <v>0.161</v>
      </c>
      <c r="AV23" s="6">
        <v>-0.46300000000000002</v>
      </c>
      <c r="AW23" s="7">
        <v>0.41</v>
      </c>
      <c r="AX23" s="7">
        <v>0.40400000000000003</v>
      </c>
      <c r="AY23" s="7">
        <v>-0.39600000000000002</v>
      </c>
      <c r="AZ23" s="7">
        <v>-0.09</v>
      </c>
      <c r="BA23" s="7">
        <v>0.01</v>
      </c>
      <c r="BB23" s="6">
        <v>-2.3439999999999999E-2</v>
      </c>
      <c r="BC23" s="7">
        <v>-0.18926999999999999</v>
      </c>
      <c r="BD23" s="7">
        <f t="shared" si="0"/>
        <v>-0.16583000000000001</v>
      </c>
      <c r="BE23" s="10">
        <v>0.74995861057677149</v>
      </c>
      <c r="BF23" s="11">
        <v>97.914999999999992</v>
      </c>
      <c r="BG23" s="12">
        <v>1.2234946327547171</v>
      </c>
    </row>
    <row r="24" spans="1:62" x14ac:dyDescent="0.3">
      <c r="A24" s="1" t="s">
        <v>51</v>
      </c>
      <c r="B24" s="27" t="s">
        <v>103</v>
      </c>
      <c r="C24" s="1">
        <v>101.6554</v>
      </c>
      <c r="D24" s="2">
        <v>85.763670000000005</v>
      </c>
      <c r="E24" s="1">
        <v>85.466579999999993</v>
      </c>
      <c r="F24" s="1">
        <v>63.57385</v>
      </c>
      <c r="G24" s="1">
        <v>86.029179999999997</v>
      </c>
      <c r="H24" s="1">
        <v>172.23920000000001</v>
      </c>
      <c r="I24" s="1">
        <v>95.035989999999998</v>
      </c>
      <c r="J24" s="1">
        <v>91.453029999999998</v>
      </c>
      <c r="K24" s="1">
        <v>90.433070000000001</v>
      </c>
      <c r="L24" s="1">
        <v>129.01786999999999</v>
      </c>
      <c r="M24" s="1">
        <v>82.030559999999994</v>
      </c>
      <c r="N24" s="1">
        <v>114.35321</v>
      </c>
      <c r="O24">
        <v>93.671440000000004</v>
      </c>
      <c r="P24" s="2">
        <v>2.5956299999999999</v>
      </c>
      <c r="Q24" s="1">
        <v>2.59701</v>
      </c>
      <c r="R24" s="1">
        <v>2.8364199999999999</v>
      </c>
      <c r="S24" s="1">
        <v>2.7370899999999998</v>
      </c>
      <c r="T24" s="1">
        <v>3.9346899999999998</v>
      </c>
      <c r="U24" s="1">
        <v>3.34754</v>
      </c>
      <c r="V24" s="1">
        <v>3.23936</v>
      </c>
      <c r="W24" s="1">
        <v>3.2292200000000002</v>
      </c>
      <c r="X24" s="23">
        <v>4.0910200000000003</v>
      </c>
      <c r="Y24" s="1">
        <v>-88.06147</v>
      </c>
      <c r="Z24" s="1">
        <v>88.928529999999995</v>
      </c>
      <c r="AA24" s="2">
        <v>2.3584000000000001</v>
      </c>
      <c r="AB24" s="1">
        <v>2.34457</v>
      </c>
      <c r="AC24" s="1">
        <v>3.64676</v>
      </c>
      <c r="AD24" s="1">
        <v>1.5839799999999999</v>
      </c>
      <c r="AE24" s="1">
        <v>1.86633</v>
      </c>
      <c r="AF24" s="6">
        <v>2076.09</v>
      </c>
      <c r="AG24" s="7">
        <v>495.9511</v>
      </c>
      <c r="AH24" s="6">
        <v>2044.62</v>
      </c>
      <c r="AI24" s="7">
        <v>1077.6792</v>
      </c>
      <c r="AJ24" s="6">
        <v>-0.45300000000000001</v>
      </c>
      <c r="AK24" s="7">
        <v>0.40699999999999997</v>
      </c>
      <c r="AL24" s="7">
        <v>0.10100000000000001</v>
      </c>
      <c r="AM24" s="7">
        <v>-0.67100000000000004</v>
      </c>
      <c r="AN24" s="7">
        <v>0.32500000000000001</v>
      </c>
      <c r="AO24" s="7">
        <v>-0.112</v>
      </c>
      <c r="AP24" s="6">
        <v>-1.452</v>
      </c>
      <c r="AQ24" s="7">
        <v>1.3180000000000001</v>
      </c>
      <c r="AR24" s="7">
        <v>1.2929999999999999</v>
      </c>
      <c r="AS24" s="7">
        <v>-0.439</v>
      </c>
      <c r="AT24" s="7">
        <v>-0.19400000000000001</v>
      </c>
      <c r="AU24" s="7">
        <v>0.14299999999999999</v>
      </c>
      <c r="AV24" s="6">
        <v>-0.48299999999999998</v>
      </c>
      <c r="AW24" s="7">
        <v>0.49299999999999999</v>
      </c>
      <c r="AX24" s="7">
        <v>0.47699999999999998</v>
      </c>
      <c r="AY24" s="7">
        <v>-0.35099999999999998</v>
      </c>
      <c r="AZ24" s="7">
        <v>-6.9000000000000006E-2</v>
      </c>
      <c r="BA24" s="7">
        <v>-1.7000000000000001E-2</v>
      </c>
      <c r="BB24" s="6">
        <v>-2.9780000000000001E-2</v>
      </c>
      <c r="BC24" s="7">
        <v>-0.19053</v>
      </c>
      <c r="BD24" s="7">
        <v>-0.16075</v>
      </c>
      <c r="BE24" s="10">
        <v>0.75504162593421842</v>
      </c>
      <c r="BF24" s="11">
        <v>99.944999999999993</v>
      </c>
      <c r="BG24" s="12">
        <v>1.77</v>
      </c>
    </row>
    <row r="25" spans="1:62" x14ac:dyDescent="0.3">
      <c r="A25" s="1" t="s">
        <v>52</v>
      </c>
      <c r="B25" s="27" t="s">
        <v>104</v>
      </c>
      <c r="C25" s="1">
        <v>101.6734</v>
      </c>
      <c r="D25" s="2">
        <v>84.453019999999995</v>
      </c>
      <c r="E25" s="1">
        <v>85.141670000000005</v>
      </c>
      <c r="F25" s="1">
        <v>63.642339999999997</v>
      </c>
      <c r="G25" s="1">
        <v>86.176159999999996</v>
      </c>
      <c r="H25" s="1">
        <v>172.04969</v>
      </c>
      <c r="I25" s="1">
        <v>96.362260000000006</v>
      </c>
      <c r="J25" s="1">
        <v>92.248339999999999</v>
      </c>
      <c r="K25" s="1">
        <v>90.669709999999995</v>
      </c>
      <c r="L25" s="1">
        <v>129.80721</v>
      </c>
      <c r="M25" s="1">
        <v>81.645269999999996</v>
      </c>
      <c r="N25" s="1">
        <v>115.00471</v>
      </c>
      <c r="O25">
        <v>93.761619999999994</v>
      </c>
      <c r="P25" s="2">
        <v>2.5655399999999999</v>
      </c>
      <c r="Q25" s="1">
        <v>2.5903100000000001</v>
      </c>
      <c r="R25" s="1">
        <v>2.8345099999999999</v>
      </c>
      <c r="S25" s="1">
        <v>2.74037</v>
      </c>
      <c r="T25" s="1">
        <v>3.92944</v>
      </c>
      <c r="U25" s="1">
        <v>3.38307</v>
      </c>
      <c r="V25" s="1">
        <v>3.2641300000000002</v>
      </c>
      <c r="W25" s="1">
        <v>3.2365900000000001</v>
      </c>
      <c r="X25" s="23">
        <v>4.10867</v>
      </c>
      <c r="Y25" s="1">
        <v>-89.225319999999996</v>
      </c>
      <c r="Z25" s="1">
        <v>87.210279999999997</v>
      </c>
      <c r="AA25" s="2">
        <v>2.3575599999999999</v>
      </c>
      <c r="AB25" s="1">
        <v>2.3462499999999999</v>
      </c>
      <c r="AC25" s="1">
        <v>3.6471800000000001</v>
      </c>
      <c r="AD25" s="1">
        <v>1.5809899999999999</v>
      </c>
      <c r="AE25" s="1">
        <v>1.8699399999999999</v>
      </c>
      <c r="AF25" s="6">
        <v>2100.1</v>
      </c>
      <c r="AG25" s="7">
        <v>491.20839999999998</v>
      </c>
      <c r="AH25" s="6">
        <v>2057.2730999999999</v>
      </c>
      <c r="AI25" s="7">
        <v>1112.7618</v>
      </c>
      <c r="AJ25" s="6">
        <v>0.107</v>
      </c>
      <c r="AK25" s="7">
        <v>-0.73799999999999999</v>
      </c>
      <c r="AL25" s="7">
        <v>-0.45900000000000002</v>
      </c>
      <c r="AM25" s="7">
        <v>-0.498</v>
      </c>
      <c r="AN25" s="7">
        <v>0.219</v>
      </c>
      <c r="AO25" s="7">
        <v>-0.154</v>
      </c>
      <c r="AP25" s="6">
        <v>-1.4570000000000001</v>
      </c>
      <c r="AQ25" s="7">
        <v>1.3109999999999999</v>
      </c>
      <c r="AR25" s="7">
        <v>1.2929999999999999</v>
      </c>
      <c r="AS25" s="7">
        <v>-0.435</v>
      </c>
      <c r="AT25" s="7">
        <v>-0.183</v>
      </c>
      <c r="AU25" s="7">
        <v>0.15</v>
      </c>
      <c r="AV25" s="15">
        <v>-0.439</v>
      </c>
      <c r="AW25" s="7">
        <v>0.46</v>
      </c>
      <c r="AX25" s="7">
        <v>0.42799999999999999</v>
      </c>
      <c r="AY25" s="7">
        <v>-0.35599999999999998</v>
      </c>
      <c r="AZ25" s="7">
        <v>-6.6000000000000003E-2</v>
      </c>
      <c r="BA25" s="7">
        <v>-1.0999999999999999E-2</v>
      </c>
      <c r="BB25" s="6">
        <v>-5.357E-2</v>
      </c>
      <c r="BC25" s="7">
        <v>-0.21029</v>
      </c>
      <c r="BD25" s="7">
        <v>-0.15672</v>
      </c>
      <c r="BE25" s="13">
        <v>0.72929149191132403</v>
      </c>
      <c r="BF25" s="11">
        <v>99.95</v>
      </c>
      <c r="BG25" s="12">
        <v>1.55</v>
      </c>
    </row>
    <row r="26" spans="1:62" x14ac:dyDescent="0.3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2"/>
      <c r="Y26" s="20"/>
      <c r="Z26" s="20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 泓锟</dc:creator>
  <cp:lastModifiedBy>mengyao liang</cp:lastModifiedBy>
  <dcterms:created xsi:type="dcterms:W3CDTF">2024-09-09T04:29:35Z</dcterms:created>
  <dcterms:modified xsi:type="dcterms:W3CDTF">2026-09-27T09:00:52Z</dcterms:modified>
</cp:coreProperties>
</file>